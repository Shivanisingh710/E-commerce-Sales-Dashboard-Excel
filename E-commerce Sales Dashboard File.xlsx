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24226"/>
  <mc:AlternateContent xmlns:mc="http://schemas.openxmlformats.org/markup-compatibility/2006">
    <mc:Choice Requires="x15">
      <x15ac:absPath xmlns:x15ac="http://schemas.microsoft.com/office/spreadsheetml/2010/11/ac" url="C:\Users\shiva\OneDrive\Desktop\"/>
    </mc:Choice>
  </mc:AlternateContent>
  <xr:revisionPtr revIDLastSave="0" documentId="13_ncr:1_{48BF7FDB-925B-471B-B0C3-B71FD869F72D}" xr6:coauthVersionLast="47" xr6:coauthVersionMax="47" xr10:uidLastSave="{00000000-0000-0000-0000-000000000000}"/>
  <bookViews>
    <workbookView xWindow="-108" yWindow="-108" windowWidth="23256" windowHeight="12456" activeTab="3" xr2:uid="{00000000-000D-0000-FFFF-FFFF00000000}"/>
  </bookViews>
  <sheets>
    <sheet name="Augmented_Data" sheetId="6" r:id="rId1"/>
    <sheet name="KPI Calculation" sheetId="8" r:id="rId2"/>
    <sheet name="Pivot_Table" sheetId="7" r:id="rId3"/>
    <sheet name="Dashboard" sheetId="11" r:id="rId4"/>
  </sheets>
  <definedNames>
    <definedName name="_xlcn.WorksheetConnection_Renew_DataA1AA5011" hidden="1">Augmented_Data!$A$1:$AA$501</definedName>
    <definedName name="cop">#REF!</definedName>
    <definedName name="Slicer_City">#N/A</definedName>
    <definedName name="Slicer_Coupon_Code">#N/A</definedName>
    <definedName name="Slicer_IsLateDelivery">#N/A</definedName>
    <definedName name="Slicer_Order_Date__Month">#N/A</definedName>
  </definedNames>
  <calcPr calcId="191029"/>
  <pivotCaches>
    <pivotCache cacheId="0" r:id="rId5"/>
    <pivotCache cacheId="1" r:id="rId6"/>
    <pivotCache cacheId="2" r:id="rId7"/>
  </pivotCaches>
  <extLst>
    <ext xmlns:x14="http://schemas.microsoft.com/office/spreadsheetml/2009/9/main" uri="{876F7934-8845-4945-9796-88D515C7AA90}">
      <x14:pivotCaches>
        <pivotCache cacheId="3" r:id="rId8"/>
      </x14:pivotCaches>
    </ex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Renew_Data!$A$1:$AA$501"/>
        </x15:modelTables>
        <x15:extLst>
          <ext xmlns:x16="http://schemas.microsoft.com/office/spreadsheetml/2014/11/main" uri="{9835A34E-60A6-4A7C-AAB8-D5F71C897F49}">
            <x16:modelTimeGroupings>
              <x16:modelTimeGrouping tableName="Range"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Lst>
</workbook>
</file>

<file path=xl/calcChain.xml><?xml version="1.0" encoding="utf-8"?>
<calcChain xmlns="http://schemas.openxmlformats.org/spreadsheetml/2006/main">
  <c r="H11" i="8" l="1"/>
  <c r="B17" i="8"/>
  <c r="G9" i="8"/>
  <c r="G3" i="8"/>
  <c r="B10" i="8"/>
  <c r="A10" i="8"/>
  <c r="H9" i="8"/>
  <c r="H7" i="8"/>
  <c r="H5" i="8"/>
  <c r="H3" i="8"/>
  <c r="S2" i="6"/>
  <c r="S3" i="6"/>
  <c r="S4" i="6"/>
  <c r="S5" i="6"/>
  <c r="S6" i="6"/>
  <c r="S7" i="6"/>
  <c r="S8" i="6"/>
  <c r="S9" i="6"/>
  <c r="S10" i="6"/>
  <c r="S11" i="6"/>
  <c r="S12" i="6"/>
  <c r="S13" i="6"/>
  <c r="S14" i="6"/>
  <c r="S15" i="6"/>
  <c r="S16" i="6"/>
  <c r="S17" i="6"/>
  <c r="S18" i="6"/>
  <c r="S19" i="6"/>
  <c r="S20" i="6"/>
  <c r="S21" i="6"/>
  <c r="S22" i="6"/>
  <c r="S23" i="6"/>
  <c r="S24" i="6"/>
  <c r="S25" i="6"/>
  <c r="S26" i="6"/>
  <c r="S27" i="6"/>
  <c r="S28" i="6"/>
  <c r="S29" i="6"/>
  <c r="S30" i="6"/>
  <c r="S31" i="6"/>
  <c r="S32" i="6"/>
  <c r="S33" i="6"/>
  <c r="S34" i="6"/>
  <c r="S35" i="6"/>
  <c r="S36" i="6"/>
  <c r="S37" i="6"/>
  <c r="S38" i="6"/>
  <c r="S39" i="6"/>
  <c r="S40" i="6"/>
  <c r="S41" i="6"/>
  <c r="S42" i="6"/>
  <c r="S43" i="6"/>
  <c r="S44" i="6"/>
  <c r="S45" i="6"/>
  <c r="S46" i="6"/>
  <c r="S47" i="6"/>
  <c r="S48" i="6"/>
  <c r="S49" i="6"/>
  <c r="S50" i="6"/>
  <c r="S51" i="6"/>
  <c r="S52" i="6"/>
  <c r="S53" i="6"/>
  <c r="S54" i="6"/>
  <c r="S55" i="6"/>
  <c r="S56" i="6"/>
  <c r="S57" i="6"/>
  <c r="S58" i="6"/>
  <c r="S59" i="6"/>
  <c r="S60" i="6"/>
  <c r="S61" i="6"/>
  <c r="S62" i="6"/>
  <c r="S63" i="6"/>
  <c r="S64" i="6"/>
  <c r="S65" i="6"/>
  <c r="S66" i="6"/>
  <c r="S67" i="6"/>
  <c r="S68" i="6"/>
  <c r="S69" i="6"/>
  <c r="S70" i="6"/>
  <c r="S71" i="6"/>
  <c r="S72" i="6"/>
  <c r="S73" i="6"/>
  <c r="S74" i="6"/>
  <c r="S75" i="6"/>
  <c r="S76" i="6"/>
  <c r="S77" i="6"/>
  <c r="S78" i="6"/>
  <c r="S79" i="6"/>
  <c r="S80" i="6"/>
  <c r="S81" i="6"/>
  <c r="S82" i="6"/>
  <c r="S83" i="6"/>
  <c r="S84" i="6"/>
  <c r="S85" i="6"/>
  <c r="S86" i="6"/>
  <c r="S87" i="6"/>
  <c r="S88" i="6"/>
  <c r="S89" i="6"/>
  <c r="S90" i="6"/>
  <c r="S91" i="6"/>
  <c r="S92" i="6"/>
  <c r="S93" i="6"/>
  <c r="S94" i="6"/>
  <c r="S95" i="6"/>
  <c r="S96" i="6"/>
  <c r="S97" i="6"/>
  <c r="S98" i="6"/>
  <c r="S99" i="6"/>
  <c r="S100" i="6"/>
  <c r="S101" i="6"/>
  <c r="S102" i="6"/>
  <c r="S103" i="6"/>
  <c r="S104" i="6"/>
  <c r="S105" i="6"/>
  <c r="S106" i="6"/>
  <c r="S107" i="6"/>
  <c r="S108" i="6"/>
  <c r="S109" i="6"/>
  <c r="S110" i="6"/>
  <c r="S111" i="6"/>
  <c r="S112" i="6"/>
  <c r="S113" i="6"/>
  <c r="S114" i="6"/>
  <c r="S115" i="6"/>
  <c r="S116" i="6"/>
  <c r="S117" i="6"/>
  <c r="S118" i="6"/>
  <c r="S119" i="6"/>
  <c r="S120" i="6"/>
  <c r="S121" i="6"/>
  <c r="S122" i="6"/>
  <c r="S123" i="6"/>
  <c r="S124" i="6"/>
  <c r="S125" i="6"/>
  <c r="S126" i="6"/>
  <c r="S127" i="6"/>
  <c r="S128" i="6"/>
  <c r="S129" i="6"/>
  <c r="S130" i="6"/>
  <c r="S131" i="6"/>
  <c r="S132" i="6"/>
  <c r="S133" i="6"/>
  <c r="S134" i="6"/>
  <c r="S135" i="6"/>
  <c r="S136" i="6"/>
  <c r="S137" i="6"/>
  <c r="S138" i="6"/>
  <c r="S139" i="6"/>
  <c r="S140" i="6"/>
  <c r="S141" i="6"/>
  <c r="S142" i="6"/>
  <c r="S143" i="6"/>
  <c r="S144" i="6"/>
  <c r="S145" i="6"/>
  <c r="S146" i="6"/>
  <c r="S147" i="6"/>
  <c r="S148" i="6"/>
  <c r="S149" i="6"/>
  <c r="S150" i="6"/>
  <c r="S151" i="6"/>
  <c r="S152" i="6"/>
  <c r="S153" i="6"/>
  <c r="S154" i="6"/>
  <c r="S155" i="6"/>
  <c r="S156" i="6"/>
  <c r="S157" i="6"/>
  <c r="S158" i="6"/>
  <c r="S159" i="6"/>
  <c r="S160" i="6"/>
  <c r="S161" i="6"/>
  <c r="S162" i="6"/>
  <c r="S163" i="6"/>
  <c r="S164" i="6"/>
  <c r="S165" i="6"/>
  <c r="S166" i="6"/>
  <c r="S167" i="6"/>
  <c r="S168" i="6"/>
  <c r="S169" i="6"/>
  <c r="S170" i="6"/>
  <c r="S171" i="6"/>
  <c r="S172" i="6"/>
  <c r="S173" i="6"/>
  <c r="S174" i="6"/>
  <c r="S175" i="6"/>
  <c r="S176" i="6"/>
  <c r="S177" i="6"/>
  <c r="S178" i="6"/>
  <c r="S179" i="6"/>
  <c r="S180" i="6"/>
  <c r="S181" i="6"/>
  <c r="S182" i="6"/>
  <c r="S183" i="6"/>
  <c r="S184" i="6"/>
  <c r="S185" i="6"/>
  <c r="S186" i="6"/>
  <c r="S187" i="6"/>
  <c r="S188" i="6"/>
  <c r="S189" i="6"/>
  <c r="S190" i="6"/>
  <c r="S191" i="6"/>
  <c r="S192" i="6"/>
  <c r="S193" i="6"/>
  <c r="S194" i="6"/>
  <c r="S195" i="6"/>
  <c r="S196" i="6"/>
  <c r="S197" i="6"/>
  <c r="S198" i="6"/>
  <c r="S199" i="6"/>
  <c r="S200" i="6"/>
  <c r="S201" i="6"/>
  <c r="S202" i="6"/>
  <c r="S203" i="6"/>
  <c r="S204" i="6"/>
  <c r="S205" i="6"/>
  <c r="S206" i="6"/>
  <c r="S207" i="6"/>
  <c r="S208" i="6"/>
  <c r="S209" i="6"/>
  <c r="S210" i="6"/>
  <c r="S211" i="6"/>
  <c r="S212" i="6"/>
  <c r="S213" i="6"/>
  <c r="S214" i="6"/>
  <c r="S215" i="6"/>
  <c r="S216" i="6"/>
  <c r="S217" i="6"/>
  <c r="S218" i="6"/>
  <c r="S219" i="6"/>
  <c r="S220" i="6"/>
  <c r="S221" i="6"/>
  <c r="S222" i="6"/>
  <c r="S223" i="6"/>
  <c r="S224" i="6"/>
  <c r="S225" i="6"/>
  <c r="S226" i="6"/>
  <c r="S227" i="6"/>
  <c r="S228" i="6"/>
  <c r="S229" i="6"/>
  <c r="S230" i="6"/>
  <c r="S231" i="6"/>
  <c r="S232" i="6"/>
  <c r="S233" i="6"/>
  <c r="S234" i="6"/>
  <c r="S235" i="6"/>
  <c r="S236" i="6"/>
  <c r="S237" i="6"/>
  <c r="S238" i="6"/>
  <c r="S239" i="6"/>
  <c r="S240" i="6"/>
  <c r="S241" i="6"/>
  <c r="S242" i="6"/>
  <c r="S243" i="6"/>
  <c r="S244" i="6"/>
  <c r="S245" i="6"/>
  <c r="S246" i="6"/>
  <c r="S247" i="6"/>
  <c r="S248" i="6"/>
  <c r="S249" i="6"/>
  <c r="S250" i="6"/>
  <c r="S251" i="6"/>
  <c r="S252" i="6"/>
  <c r="S253" i="6"/>
  <c r="S254" i="6"/>
  <c r="S255" i="6"/>
  <c r="S256" i="6"/>
  <c r="S257" i="6"/>
  <c r="S258" i="6"/>
  <c r="S259" i="6"/>
  <c r="S260" i="6"/>
  <c r="S261" i="6"/>
  <c r="S262" i="6"/>
  <c r="S263" i="6"/>
  <c r="S264" i="6"/>
  <c r="S265" i="6"/>
  <c r="S266" i="6"/>
  <c r="S267" i="6"/>
  <c r="S268" i="6"/>
  <c r="S269" i="6"/>
  <c r="S270" i="6"/>
  <c r="S271" i="6"/>
  <c r="S272" i="6"/>
  <c r="S273" i="6"/>
  <c r="S274" i="6"/>
  <c r="S275" i="6"/>
  <c r="S276" i="6"/>
  <c r="S277" i="6"/>
  <c r="S278" i="6"/>
  <c r="S279" i="6"/>
  <c r="S280" i="6"/>
  <c r="S281" i="6"/>
  <c r="S282" i="6"/>
  <c r="S283" i="6"/>
  <c r="S284" i="6"/>
  <c r="S285" i="6"/>
  <c r="S286" i="6"/>
  <c r="S287" i="6"/>
  <c r="S288" i="6"/>
  <c r="S289" i="6"/>
  <c r="S290" i="6"/>
  <c r="S291" i="6"/>
  <c r="S292" i="6"/>
  <c r="S293" i="6"/>
  <c r="S294" i="6"/>
  <c r="S295" i="6"/>
  <c r="S296" i="6"/>
  <c r="S297" i="6"/>
  <c r="S298" i="6"/>
  <c r="S299" i="6"/>
  <c r="S300" i="6"/>
  <c r="S301" i="6"/>
  <c r="S302" i="6"/>
  <c r="S303" i="6"/>
  <c r="S304" i="6"/>
  <c r="S305" i="6"/>
  <c r="S306" i="6"/>
  <c r="S307" i="6"/>
  <c r="S308" i="6"/>
  <c r="S309" i="6"/>
  <c r="S310" i="6"/>
  <c r="S311" i="6"/>
  <c r="S312" i="6"/>
  <c r="S313" i="6"/>
  <c r="S314" i="6"/>
  <c r="S315" i="6"/>
  <c r="S316" i="6"/>
  <c r="S317" i="6"/>
  <c r="S318" i="6"/>
  <c r="S319" i="6"/>
  <c r="S320" i="6"/>
  <c r="S321" i="6"/>
  <c r="S322" i="6"/>
  <c r="S323" i="6"/>
  <c r="S324" i="6"/>
  <c r="S325" i="6"/>
  <c r="S326" i="6"/>
  <c r="S327" i="6"/>
  <c r="S328" i="6"/>
  <c r="S329" i="6"/>
  <c r="S330" i="6"/>
  <c r="S331" i="6"/>
  <c r="S332" i="6"/>
  <c r="S333" i="6"/>
  <c r="S334" i="6"/>
  <c r="S335" i="6"/>
  <c r="S336" i="6"/>
  <c r="S337" i="6"/>
  <c r="S338" i="6"/>
  <c r="S339" i="6"/>
  <c r="S340" i="6"/>
  <c r="S341" i="6"/>
  <c r="S342" i="6"/>
  <c r="S343" i="6"/>
  <c r="S344" i="6"/>
  <c r="S345" i="6"/>
  <c r="S346" i="6"/>
  <c r="S347" i="6"/>
  <c r="S348" i="6"/>
  <c r="S349" i="6"/>
  <c r="S350" i="6"/>
  <c r="S351" i="6"/>
  <c r="S352" i="6"/>
  <c r="S353" i="6"/>
  <c r="S354" i="6"/>
  <c r="S355" i="6"/>
  <c r="S356" i="6"/>
  <c r="S357" i="6"/>
  <c r="S358" i="6"/>
  <c r="S359" i="6"/>
  <c r="S360" i="6"/>
  <c r="S361" i="6"/>
  <c r="S362" i="6"/>
  <c r="S363" i="6"/>
  <c r="S364" i="6"/>
  <c r="S365" i="6"/>
  <c r="S366" i="6"/>
  <c r="S367" i="6"/>
  <c r="S368" i="6"/>
  <c r="S369" i="6"/>
  <c r="S370" i="6"/>
  <c r="S371" i="6"/>
  <c r="S372" i="6"/>
  <c r="S373" i="6"/>
  <c r="S374" i="6"/>
  <c r="S375" i="6"/>
  <c r="S376" i="6"/>
  <c r="S377" i="6"/>
  <c r="S378" i="6"/>
  <c r="S379" i="6"/>
  <c r="S380" i="6"/>
  <c r="S381" i="6"/>
  <c r="S382" i="6"/>
  <c r="S383" i="6"/>
  <c r="S384" i="6"/>
  <c r="S385" i="6"/>
  <c r="S386" i="6"/>
  <c r="S387" i="6"/>
  <c r="S388" i="6"/>
  <c r="S389" i="6"/>
  <c r="S390" i="6"/>
  <c r="S391" i="6"/>
  <c r="S392" i="6"/>
  <c r="S393" i="6"/>
  <c r="S394" i="6"/>
  <c r="S395" i="6"/>
  <c r="S396" i="6"/>
  <c r="S397" i="6"/>
  <c r="S398" i="6"/>
  <c r="S399" i="6"/>
  <c r="S400" i="6"/>
  <c r="S401" i="6"/>
  <c r="S402" i="6"/>
  <c r="S403" i="6"/>
  <c r="S404" i="6"/>
  <c r="S405" i="6"/>
  <c r="S406" i="6"/>
  <c r="S407" i="6"/>
  <c r="S408" i="6"/>
  <c r="S409" i="6"/>
  <c r="S410" i="6"/>
  <c r="S411" i="6"/>
  <c r="S412" i="6"/>
  <c r="S413" i="6"/>
  <c r="S414" i="6"/>
  <c r="S415" i="6"/>
  <c r="S416" i="6"/>
  <c r="S417" i="6"/>
  <c r="S418" i="6"/>
  <c r="S419" i="6"/>
  <c r="S420" i="6"/>
  <c r="S421" i="6"/>
  <c r="S422" i="6"/>
  <c r="S423" i="6"/>
  <c r="S424" i="6"/>
  <c r="S425" i="6"/>
  <c r="S426" i="6"/>
  <c r="S427" i="6"/>
  <c r="S428" i="6"/>
  <c r="S429" i="6"/>
  <c r="S430" i="6"/>
  <c r="S431" i="6"/>
  <c r="S432" i="6"/>
  <c r="S433" i="6"/>
  <c r="S434" i="6"/>
  <c r="S435" i="6"/>
  <c r="S436" i="6"/>
  <c r="S437" i="6"/>
  <c r="S438" i="6"/>
  <c r="S439" i="6"/>
  <c r="S440" i="6"/>
  <c r="S441" i="6"/>
  <c r="S442" i="6"/>
  <c r="S443" i="6"/>
  <c r="S444" i="6"/>
  <c r="S445" i="6"/>
  <c r="S446" i="6"/>
  <c r="S447" i="6"/>
  <c r="S448" i="6"/>
  <c r="S449" i="6"/>
  <c r="S450" i="6"/>
  <c r="S451" i="6"/>
  <c r="S452" i="6"/>
  <c r="S453" i="6"/>
  <c r="S454" i="6"/>
  <c r="S455" i="6"/>
  <c r="S456" i="6"/>
  <c r="S457" i="6"/>
  <c r="S458" i="6"/>
  <c r="S459" i="6"/>
  <c r="S460" i="6"/>
  <c r="S461" i="6"/>
  <c r="S462" i="6"/>
  <c r="S463" i="6"/>
  <c r="S464" i="6"/>
  <c r="S465" i="6"/>
  <c r="S466" i="6"/>
  <c r="S467" i="6"/>
  <c r="S468" i="6"/>
  <c r="S469" i="6"/>
  <c r="S470" i="6"/>
  <c r="S471" i="6"/>
  <c r="S472" i="6"/>
  <c r="S473" i="6"/>
  <c r="S474" i="6"/>
  <c r="S475" i="6"/>
  <c r="S476" i="6"/>
  <c r="S477" i="6"/>
  <c r="S478" i="6"/>
  <c r="S479" i="6"/>
  <c r="S480" i="6"/>
  <c r="S481" i="6"/>
  <c r="S482" i="6"/>
  <c r="S483" i="6"/>
  <c r="S484" i="6"/>
  <c r="S485" i="6"/>
  <c r="S486" i="6"/>
  <c r="S487" i="6"/>
  <c r="S488" i="6"/>
  <c r="S489" i="6"/>
  <c r="S490" i="6"/>
  <c r="S491" i="6"/>
  <c r="S492" i="6"/>
  <c r="S493" i="6"/>
  <c r="S494" i="6"/>
  <c r="S495" i="6"/>
  <c r="S496" i="6"/>
  <c r="S497" i="6"/>
  <c r="S498" i="6"/>
  <c r="S499" i="6"/>
  <c r="S500" i="6"/>
  <c r="S501"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B346" i="6"/>
  <c r="B347" i="6"/>
  <c r="B348" i="6"/>
  <c r="B349" i="6"/>
  <c r="B350" i="6"/>
  <c r="B351" i="6"/>
  <c r="B352" i="6"/>
  <c r="B353" i="6"/>
  <c r="B354" i="6"/>
  <c r="B355" i="6"/>
  <c r="B356" i="6"/>
  <c r="B357" i="6"/>
  <c r="B358" i="6"/>
  <c r="B359" i="6"/>
  <c r="B360" i="6"/>
  <c r="B361" i="6"/>
  <c r="B362" i="6"/>
  <c r="B363" i="6"/>
  <c r="B364" i="6"/>
  <c r="B365" i="6"/>
  <c r="B366" i="6"/>
  <c r="B367" i="6"/>
  <c r="B368" i="6"/>
  <c r="B369" i="6"/>
  <c r="B370" i="6"/>
  <c r="B371" i="6"/>
  <c r="B372" i="6"/>
  <c r="B373" i="6"/>
  <c r="B374" i="6"/>
  <c r="B375" i="6"/>
  <c r="B376" i="6"/>
  <c r="B377" i="6"/>
  <c r="B378" i="6"/>
  <c r="B379" i="6"/>
  <c r="B380" i="6"/>
  <c r="B381" i="6"/>
  <c r="B382" i="6"/>
  <c r="B383" i="6"/>
  <c r="B384" i="6"/>
  <c r="B385" i="6"/>
  <c r="B386" i="6"/>
  <c r="B387" i="6"/>
  <c r="B388" i="6"/>
  <c r="B389" i="6"/>
  <c r="B390" i="6"/>
  <c r="B391" i="6"/>
  <c r="B392" i="6"/>
  <c r="B393" i="6"/>
  <c r="B394" i="6"/>
  <c r="B395" i="6"/>
  <c r="B396" i="6"/>
  <c r="B397" i="6"/>
  <c r="B398" i="6"/>
  <c r="B399" i="6"/>
  <c r="B400" i="6"/>
  <c r="B401" i="6"/>
  <c r="B402" i="6"/>
  <c r="B403" i="6"/>
  <c r="B404" i="6"/>
  <c r="B405" i="6"/>
  <c r="B406" i="6"/>
  <c r="B407" i="6"/>
  <c r="B408" i="6"/>
  <c r="B409" i="6"/>
  <c r="B410" i="6"/>
  <c r="B411" i="6"/>
  <c r="B412" i="6"/>
  <c r="B413" i="6"/>
  <c r="B414" i="6"/>
  <c r="B415" i="6"/>
  <c r="B416" i="6"/>
  <c r="B417" i="6"/>
  <c r="B418" i="6"/>
  <c r="B419" i="6"/>
  <c r="B420" i="6"/>
  <c r="B421" i="6"/>
  <c r="B422" i="6"/>
  <c r="B423" i="6"/>
  <c r="B424" i="6"/>
  <c r="B425" i="6"/>
  <c r="B426" i="6"/>
  <c r="B427" i="6"/>
  <c r="B428" i="6"/>
  <c r="B429" i="6"/>
  <c r="B430" i="6"/>
  <c r="B431" i="6"/>
  <c r="B432" i="6"/>
  <c r="B433" i="6"/>
  <c r="B434" i="6"/>
  <c r="B435" i="6"/>
  <c r="B436" i="6"/>
  <c r="B437" i="6"/>
  <c r="B438" i="6"/>
  <c r="B439" i="6"/>
  <c r="B440" i="6"/>
  <c r="B441" i="6"/>
  <c r="B442" i="6"/>
  <c r="B443" i="6"/>
  <c r="B444" i="6"/>
  <c r="B445" i="6"/>
  <c r="B446" i="6"/>
  <c r="B447" i="6"/>
  <c r="B448" i="6"/>
  <c r="B449" i="6"/>
  <c r="B450" i="6"/>
  <c r="B451" i="6"/>
  <c r="B452" i="6"/>
  <c r="B453" i="6"/>
  <c r="B454" i="6"/>
  <c r="B455" i="6"/>
  <c r="B456" i="6"/>
  <c r="B457" i="6"/>
  <c r="B458" i="6"/>
  <c r="B459" i="6"/>
  <c r="B460" i="6"/>
  <c r="B461" i="6"/>
  <c r="B462" i="6"/>
  <c r="B463" i="6"/>
  <c r="B464" i="6"/>
  <c r="B465" i="6"/>
  <c r="B466" i="6"/>
  <c r="B467" i="6"/>
  <c r="B468" i="6"/>
  <c r="B469" i="6"/>
  <c r="B470" i="6"/>
  <c r="B471" i="6"/>
  <c r="B472" i="6"/>
  <c r="B473" i="6"/>
  <c r="B474" i="6"/>
  <c r="B475" i="6"/>
  <c r="B476" i="6"/>
  <c r="B477" i="6"/>
  <c r="B478" i="6"/>
  <c r="B479" i="6"/>
  <c r="B480" i="6"/>
  <c r="B481" i="6"/>
  <c r="B482" i="6"/>
  <c r="B483" i="6"/>
  <c r="B484" i="6"/>
  <c r="B485" i="6"/>
  <c r="B486" i="6"/>
  <c r="B487" i="6"/>
  <c r="B488" i="6"/>
  <c r="B489" i="6"/>
  <c r="B490" i="6"/>
  <c r="B491" i="6"/>
  <c r="B492" i="6"/>
  <c r="B493" i="6"/>
  <c r="B494" i="6"/>
  <c r="B495" i="6"/>
  <c r="B496" i="6"/>
  <c r="B497" i="6"/>
  <c r="B498" i="6"/>
  <c r="B499" i="6"/>
  <c r="B500" i="6"/>
  <c r="B501" i="6"/>
  <c r="Q2" i="6"/>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21" i="6"/>
  <c r="Q222" i="6"/>
  <c r="Q223" i="6"/>
  <c r="Q224" i="6"/>
  <c r="Q225" i="6"/>
  <c r="Q226" i="6"/>
  <c r="Q227" i="6"/>
  <c r="Q228" i="6"/>
  <c r="Q229" i="6"/>
  <c r="Q230" i="6"/>
  <c r="Q231" i="6"/>
  <c r="Q232" i="6"/>
  <c r="Q233" i="6"/>
  <c r="Q234" i="6"/>
  <c r="Q235" i="6"/>
  <c r="Q236" i="6"/>
  <c r="Q237" i="6"/>
  <c r="Q238" i="6"/>
  <c r="Q239" i="6"/>
  <c r="Q240" i="6"/>
  <c r="Q241" i="6"/>
  <c r="Q242" i="6"/>
  <c r="Q243" i="6"/>
  <c r="Q244" i="6"/>
  <c r="Q245" i="6"/>
  <c r="Q246" i="6"/>
  <c r="Q247" i="6"/>
  <c r="Q248" i="6"/>
  <c r="Q249" i="6"/>
  <c r="Q250" i="6"/>
  <c r="Q251" i="6"/>
  <c r="Q252" i="6"/>
  <c r="Q253" i="6"/>
  <c r="Q254" i="6"/>
  <c r="Q255" i="6"/>
  <c r="Q256" i="6"/>
  <c r="Q257" i="6"/>
  <c r="Q258" i="6"/>
  <c r="Q259" i="6"/>
  <c r="Q260" i="6"/>
  <c r="Q261" i="6"/>
  <c r="Q262" i="6"/>
  <c r="Q263" i="6"/>
  <c r="Q264" i="6"/>
  <c r="Q265" i="6"/>
  <c r="Q266" i="6"/>
  <c r="Q267" i="6"/>
  <c r="Q268" i="6"/>
  <c r="Q269" i="6"/>
  <c r="Q270" i="6"/>
  <c r="Q271" i="6"/>
  <c r="Q272" i="6"/>
  <c r="Q273" i="6"/>
  <c r="Q274" i="6"/>
  <c r="Q275" i="6"/>
  <c r="Q276" i="6"/>
  <c r="Q277" i="6"/>
  <c r="Q278" i="6"/>
  <c r="Q279" i="6"/>
  <c r="Q280" i="6"/>
  <c r="Q281" i="6"/>
  <c r="Q282" i="6"/>
  <c r="Q283" i="6"/>
  <c r="Q284" i="6"/>
  <c r="Q285" i="6"/>
  <c r="Q286" i="6"/>
  <c r="Q287" i="6"/>
  <c r="Q288" i="6"/>
  <c r="Q289" i="6"/>
  <c r="Q290" i="6"/>
  <c r="Q291" i="6"/>
  <c r="Q292" i="6"/>
  <c r="Q293" i="6"/>
  <c r="Q294" i="6"/>
  <c r="Q295" i="6"/>
  <c r="Q296" i="6"/>
  <c r="Q297" i="6"/>
  <c r="Q298" i="6"/>
  <c r="Q299" i="6"/>
  <c r="Q300" i="6"/>
  <c r="Q301" i="6"/>
  <c r="Q302" i="6"/>
  <c r="Q303" i="6"/>
  <c r="Q304" i="6"/>
  <c r="Q305" i="6"/>
  <c r="Q306" i="6"/>
  <c r="Q307" i="6"/>
  <c r="Q308" i="6"/>
  <c r="Q309" i="6"/>
  <c r="Q310" i="6"/>
  <c r="Q311" i="6"/>
  <c r="Q312" i="6"/>
  <c r="Q313" i="6"/>
  <c r="Q314" i="6"/>
  <c r="Q315" i="6"/>
  <c r="Q316" i="6"/>
  <c r="Q317" i="6"/>
  <c r="Q318" i="6"/>
  <c r="Q319" i="6"/>
  <c r="Q320" i="6"/>
  <c r="Q321" i="6"/>
  <c r="Q322" i="6"/>
  <c r="Q323" i="6"/>
  <c r="Q324" i="6"/>
  <c r="Q325" i="6"/>
  <c r="Q326" i="6"/>
  <c r="Q327" i="6"/>
  <c r="Q328" i="6"/>
  <c r="Q329" i="6"/>
  <c r="Q330" i="6"/>
  <c r="Q331" i="6"/>
  <c r="Q332" i="6"/>
  <c r="Q333" i="6"/>
  <c r="Q334" i="6"/>
  <c r="Q335" i="6"/>
  <c r="Q336" i="6"/>
  <c r="Q337" i="6"/>
  <c r="Q338" i="6"/>
  <c r="Q339" i="6"/>
  <c r="Q340" i="6"/>
  <c r="Q341" i="6"/>
  <c r="Q342" i="6"/>
  <c r="Q343" i="6"/>
  <c r="Q344" i="6"/>
  <c r="Q345" i="6"/>
  <c r="Q346" i="6"/>
  <c r="Q347" i="6"/>
  <c r="Q348" i="6"/>
  <c r="Q349" i="6"/>
  <c r="Q350" i="6"/>
  <c r="Q351" i="6"/>
  <c r="Q352" i="6"/>
  <c r="Q353" i="6"/>
  <c r="Q354" i="6"/>
  <c r="Q355" i="6"/>
  <c r="Q356" i="6"/>
  <c r="Q357" i="6"/>
  <c r="Q358" i="6"/>
  <c r="Q359" i="6"/>
  <c r="Q360" i="6"/>
  <c r="Q361" i="6"/>
  <c r="Q362" i="6"/>
  <c r="Q363" i="6"/>
  <c r="Q364" i="6"/>
  <c r="Q365" i="6"/>
  <c r="Q366" i="6"/>
  <c r="Q367" i="6"/>
  <c r="Q368" i="6"/>
  <c r="Q369" i="6"/>
  <c r="Q370" i="6"/>
  <c r="Q371" i="6"/>
  <c r="Q372" i="6"/>
  <c r="Q373" i="6"/>
  <c r="Q374" i="6"/>
  <c r="Q375" i="6"/>
  <c r="Q376" i="6"/>
  <c r="Q377" i="6"/>
  <c r="Q378" i="6"/>
  <c r="Q379" i="6"/>
  <c r="Q380" i="6"/>
  <c r="Q381" i="6"/>
  <c r="Q382" i="6"/>
  <c r="Q383" i="6"/>
  <c r="Q384" i="6"/>
  <c r="Q385" i="6"/>
  <c r="Q386" i="6"/>
  <c r="Q387" i="6"/>
  <c r="Q388" i="6"/>
  <c r="Q389" i="6"/>
  <c r="Q390" i="6"/>
  <c r="Q391" i="6"/>
  <c r="Q392" i="6"/>
  <c r="Q393" i="6"/>
  <c r="Q394" i="6"/>
  <c r="Q395" i="6"/>
  <c r="Q396" i="6"/>
  <c r="Q397" i="6"/>
  <c r="Q398" i="6"/>
  <c r="Q399" i="6"/>
  <c r="Q400" i="6"/>
  <c r="Q401" i="6"/>
  <c r="Q402" i="6"/>
  <c r="Q403" i="6"/>
  <c r="Q404" i="6"/>
  <c r="Q405" i="6"/>
  <c r="Q406" i="6"/>
  <c r="Q407" i="6"/>
  <c r="Q408" i="6"/>
  <c r="Q409" i="6"/>
  <c r="Q410" i="6"/>
  <c r="Q411" i="6"/>
  <c r="Q412" i="6"/>
  <c r="Q413" i="6"/>
  <c r="Q414" i="6"/>
  <c r="Q415" i="6"/>
  <c r="Q416" i="6"/>
  <c r="Q417" i="6"/>
  <c r="Q418" i="6"/>
  <c r="Q419" i="6"/>
  <c r="Q420" i="6"/>
  <c r="Q421" i="6"/>
  <c r="Q422" i="6"/>
  <c r="Q423" i="6"/>
  <c r="Q424" i="6"/>
  <c r="Q425" i="6"/>
  <c r="Q426" i="6"/>
  <c r="Q427" i="6"/>
  <c r="Q428" i="6"/>
  <c r="Q429" i="6"/>
  <c r="Q430" i="6"/>
  <c r="Q431" i="6"/>
  <c r="Q432" i="6"/>
  <c r="Q433" i="6"/>
  <c r="Q434" i="6"/>
  <c r="Q435" i="6"/>
  <c r="Q436" i="6"/>
  <c r="Q437" i="6"/>
  <c r="Q438" i="6"/>
  <c r="Q439" i="6"/>
  <c r="Q440" i="6"/>
  <c r="Q441" i="6"/>
  <c r="Q442" i="6"/>
  <c r="Q443" i="6"/>
  <c r="Q444" i="6"/>
  <c r="Q445" i="6"/>
  <c r="Q446" i="6"/>
  <c r="Q447" i="6"/>
  <c r="Q448" i="6"/>
  <c r="Q449" i="6"/>
  <c r="Q450" i="6"/>
  <c r="Q451" i="6"/>
  <c r="Q452" i="6"/>
  <c r="Q453" i="6"/>
  <c r="Q454" i="6"/>
  <c r="Q455" i="6"/>
  <c r="Q456" i="6"/>
  <c r="Q457" i="6"/>
  <c r="Q458" i="6"/>
  <c r="Q459" i="6"/>
  <c r="Q460" i="6"/>
  <c r="Q461" i="6"/>
  <c r="Q462" i="6"/>
  <c r="Q463" i="6"/>
  <c r="Q464" i="6"/>
  <c r="Q465" i="6"/>
  <c r="Q466" i="6"/>
  <c r="Q467" i="6"/>
  <c r="Q468" i="6"/>
  <c r="Q469" i="6"/>
  <c r="Q470" i="6"/>
  <c r="Q471" i="6"/>
  <c r="Q472" i="6"/>
  <c r="Q473" i="6"/>
  <c r="Q474" i="6"/>
  <c r="Q475" i="6"/>
  <c r="Q476" i="6"/>
  <c r="Q477" i="6"/>
  <c r="Q478" i="6"/>
  <c r="Q479" i="6"/>
  <c r="Q480" i="6"/>
  <c r="Q481" i="6"/>
  <c r="Q482" i="6"/>
  <c r="Q483" i="6"/>
  <c r="Q484" i="6"/>
  <c r="Q485" i="6"/>
  <c r="Q486" i="6"/>
  <c r="Q487" i="6"/>
  <c r="Q488" i="6"/>
  <c r="Q489" i="6"/>
  <c r="Q490" i="6"/>
  <c r="Q491" i="6"/>
  <c r="Q492" i="6"/>
  <c r="Q493" i="6"/>
  <c r="Q494" i="6"/>
  <c r="Q495" i="6"/>
  <c r="Q496" i="6"/>
  <c r="Q497" i="6"/>
  <c r="Q498" i="6"/>
  <c r="Q499" i="6"/>
  <c r="Q500" i="6"/>
  <c r="Q501" i="6"/>
  <c r="V2" i="6"/>
  <c r="A8" i="8" s="1"/>
  <c r="B13" i="8"/>
  <c r="A13" i="8"/>
  <c r="B8" i="8"/>
  <c r="B3" i="8"/>
  <c r="A3" i="8"/>
  <c r="V3" i="6"/>
  <c r="V4" i="6"/>
  <c r="V5" i="6"/>
  <c r="V6" i="6"/>
  <c r="V7" i="6"/>
  <c r="V8" i="6"/>
  <c r="V9" i="6"/>
  <c r="V10" i="6"/>
  <c r="V11" i="6"/>
  <c r="V12" i="6"/>
  <c r="V13" i="6"/>
  <c r="V14" i="6"/>
  <c r="V15" i="6"/>
  <c r="V16" i="6"/>
  <c r="V17" i="6"/>
  <c r="V18" i="6"/>
  <c r="V19" i="6"/>
  <c r="V20" i="6"/>
  <c r="V21" i="6"/>
  <c r="V22" i="6"/>
  <c r="V23" i="6"/>
  <c r="V24" i="6"/>
  <c r="V25" i="6"/>
  <c r="V26" i="6"/>
  <c r="V27" i="6"/>
  <c r="V28" i="6"/>
  <c r="V29" i="6"/>
  <c r="V30" i="6"/>
  <c r="V31" i="6"/>
  <c r="V32" i="6"/>
  <c r="V33" i="6"/>
  <c r="V34" i="6"/>
  <c r="V35" i="6"/>
  <c r="V36" i="6"/>
  <c r="V37" i="6"/>
  <c r="V38" i="6"/>
  <c r="V39" i="6"/>
  <c r="V40" i="6"/>
  <c r="V41" i="6"/>
  <c r="V42" i="6"/>
  <c r="V43" i="6"/>
  <c r="V44" i="6"/>
  <c r="V45" i="6"/>
  <c r="V46" i="6"/>
  <c r="V47" i="6"/>
  <c r="V48" i="6"/>
  <c r="V49" i="6"/>
  <c r="V50" i="6"/>
  <c r="V51" i="6"/>
  <c r="V52" i="6"/>
  <c r="V53" i="6"/>
  <c r="V54" i="6"/>
  <c r="V55" i="6"/>
  <c r="V56" i="6"/>
  <c r="V57" i="6"/>
  <c r="V58" i="6"/>
  <c r="V59" i="6"/>
  <c r="V60" i="6"/>
  <c r="V61" i="6"/>
  <c r="V62" i="6"/>
  <c r="V63" i="6"/>
  <c r="V64" i="6"/>
  <c r="V65" i="6"/>
  <c r="V66" i="6"/>
  <c r="V67" i="6"/>
  <c r="V68" i="6"/>
  <c r="V69" i="6"/>
  <c r="V70" i="6"/>
  <c r="V71" i="6"/>
  <c r="V72" i="6"/>
  <c r="V73" i="6"/>
  <c r="V74" i="6"/>
  <c r="V75" i="6"/>
  <c r="V76" i="6"/>
  <c r="V77" i="6"/>
  <c r="V78" i="6"/>
  <c r="V79" i="6"/>
  <c r="V80" i="6"/>
  <c r="V81" i="6"/>
  <c r="V82" i="6"/>
  <c r="V83" i="6"/>
  <c r="V84" i="6"/>
  <c r="V85" i="6"/>
  <c r="V86" i="6"/>
  <c r="V87" i="6"/>
  <c r="V88" i="6"/>
  <c r="V89" i="6"/>
  <c r="V90" i="6"/>
  <c r="V91" i="6"/>
  <c r="V92" i="6"/>
  <c r="V93" i="6"/>
  <c r="V94" i="6"/>
  <c r="V95" i="6"/>
  <c r="V96" i="6"/>
  <c r="V97" i="6"/>
  <c r="V98" i="6"/>
  <c r="V99" i="6"/>
  <c r="V100" i="6"/>
  <c r="V101" i="6"/>
  <c r="V102" i="6"/>
  <c r="V103" i="6"/>
  <c r="V104" i="6"/>
  <c r="V105" i="6"/>
  <c r="V106" i="6"/>
  <c r="V107" i="6"/>
  <c r="V108" i="6"/>
  <c r="V109" i="6"/>
  <c r="V110" i="6"/>
  <c r="V111" i="6"/>
  <c r="V112" i="6"/>
  <c r="V113" i="6"/>
  <c r="V114" i="6"/>
  <c r="V115" i="6"/>
  <c r="V116" i="6"/>
  <c r="V117" i="6"/>
  <c r="V118" i="6"/>
  <c r="V119" i="6"/>
  <c r="V120" i="6"/>
  <c r="V121" i="6"/>
  <c r="V122" i="6"/>
  <c r="V123" i="6"/>
  <c r="V124" i="6"/>
  <c r="V125" i="6"/>
  <c r="V126" i="6"/>
  <c r="V127" i="6"/>
  <c r="V128" i="6"/>
  <c r="V129" i="6"/>
  <c r="V130" i="6"/>
  <c r="V131" i="6"/>
  <c r="V132" i="6"/>
  <c r="V133" i="6"/>
  <c r="V134" i="6"/>
  <c r="V135" i="6"/>
  <c r="V136" i="6"/>
  <c r="V137" i="6"/>
  <c r="V138" i="6"/>
  <c r="V139" i="6"/>
  <c r="V140" i="6"/>
  <c r="V141" i="6"/>
  <c r="V142" i="6"/>
  <c r="V143" i="6"/>
  <c r="V144" i="6"/>
  <c r="V145" i="6"/>
  <c r="V146" i="6"/>
  <c r="V147" i="6"/>
  <c r="V148" i="6"/>
  <c r="V149" i="6"/>
  <c r="V150" i="6"/>
  <c r="V151" i="6"/>
  <c r="V152" i="6"/>
  <c r="V153" i="6"/>
  <c r="V154" i="6"/>
  <c r="V155" i="6"/>
  <c r="V156" i="6"/>
  <c r="V157" i="6"/>
  <c r="V158" i="6"/>
  <c r="V159" i="6"/>
  <c r="V160" i="6"/>
  <c r="V161" i="6"/>
  <c r="V162" i="6"/>
  <c r="V163" i="6"/>
  <c r="V164" i="6"/>
  <c r="V165" i="6"/>
  <c r="V166" i="6"/>
  <c r="V167" i="6"/>
  <c r="V168" i="6"/>
  <c r="V169" i="6"/>
  <c r="V170" i="6"/>
  <c r="V171" i="6"/>
  <c r="V172" i="6"/>
  <c r="V173" i="6"/>
  <c r="V174" i="6"/>
  <c r="V175" i="6"/>
  <c r="V176" i="6"/>
  <c r="V177" i="6"/>
  <c r="V178" i="6"/>
  <c r="V179" i="6"/>
  <c r="V180" i="6"/>
  <c r="V181" i="6"/>
  <c r="V182" i="6"/>
  <c r="V183" i="6"/>
  <c r="V184" i="6"/>
  <c r="V185" i="6"/>
  <c r="V186" i="6"/>
  <c r="V187" i="6"/>
  <c r="V188" i="6"/>
  <c r="V189" i="6"/>
  <c r="V190" i="6"/>
  <c r="V191" i="6"/>
  <c r="V192" i="6"/>
  <c r="V193" i="6"/>
  <c r="V194" i="6"/>
  <c r="V195" i="6"/>
  <c r="V196" i="6"/>
  <c r="V197" i="6"/>
  <c r="V198" i="6"/>
  <c r="V199" i="6"/>
  <c r="V200" i="6"/>
  <c r="V201" i="6"/>
  <c r="V202" i="6"/>
  <c r="V203" i="6"/>
  <c r="V204" i="6"/>
  <c r="V205" i="6"/>
  <c r="V206" i="6"/>
  <c r="V207" i="6"/>
  <c r="V208" i="6"/>
  <c r="V209" i="6"/>
  <c r="V210" i="6"/>
  <c r="V211" i="6"/>
  <c r="V212" i="6"/>
  <c r="V213" i="6"/>
  <c r="V214" i="6"/>
  <c r="V215" i="6"/>
  <c r="V216" i="6"/>
  <c r="V217" i="6"/>
  <c r="V218" i="6"/>
  <c r="V219" i="6"/>
  <c r="V220" i="6"/>
  <c r="V221" i="6"/>
  <c r="V222" i="6"/>
  <c r="V223" i="6"/>
  <c r="V224" i="6"/>
  <c r="V225" i="6"/>
  <c r="V226" i="6"/>
  <c r="V227" i="6"/>
  <c r="V228" i="6"/>
  <c r="V229" i="6"/>
  <c r="V230" i="6"/>
  <c r="V231" i="6"/>
  <c r="V232" i="6"/>
  <c r="V233" i="6"/>
  <c r="V234" i="6"/>
  <c r="V235" i="6"/>
  <c r="V236" i="6"/>
  <c r="V237" i="6"/>
  <c r="V238" i="6"/>
  <c r="V239" i="6"/>
  <c r="V240" i="6"/>
  <c r="V241" i="6"/>
  <c r="V242" i="6"/>
  <c r="V243" i="6"/>
  <c r="V244" i="6"/>
  <c r="V245" i="6"/>
  <c r="V246" i="6"/>
  <c r="V247" i="6"/>
  <c r="V248" i="6"/>
  <c r="V249" i="6"/>
  <c r="V250" i="6"/>
  <c r="V251" i="6"/>
  <c r="V252" i="6"/>
  <c r="V253" i="6"/>
  <c r="V254" i="6"/>
  <c r="V255" i="6"/>
  <c r="V256" i="6"/>
  <c r="V257" i="6"/>
  <c r="V258" i="6"/>
  <c r="V259" i="6"/>
  <c r="V260" i="6"/>
  <c r="V261" i="6"/>
  <c r="V262" i="6"/>
  <c r="V263" i="6"/>
  <c r="V264" i="6"/>
  <c r="V265" i="6"/>
  <c r="V266" i="6"/>
  <c r="V267" i="6"/>
  <c r="V268" i="6"/>
  <c r="V269" i="6"/>
  <c r="V270" i="6"/>
  <c r="V271" i="6"/>
  <c r="V272" i="6"/>
  <c r="V273" i="6"/>
  <c r="V274" i="6"/>
  <c r="V275" i="6"/>
  <c r="V276" i="6"/>
  <c r="V277" i="6"/>
  <c r="V278" i="6"/>
  <c r="V279" i="6"/>
  <c r="V280" i="6"/>
  <c r="V281" i="6"/>
  <c r="V282" i="6"/>
  <c r="V283" i="6"/>
  <c r="V284" i="6"/>
  <c r="V285" i="6"/>
  <c r="V286" i="6"/>
  <c r="V287" i="6"/>
  <c r="V288" i="6"/>
  <c r="V289" i="6"/>
  <c r="V290" i="6"/>
  <c r="V291" i="6"/>
  <c r="V292" i="6"/>
  <c r="V293" i="6"/>
  <c r="V294" i="6"/>
  <c r="V295" i="6"/>
  <c r="V296" i="6"/>
  <c r="V297" i="6"/>
  <c r="V298" i="6"/>
  <c r="V299" i="6"/>
  <c r="V300" i="6"/>
  <c r="V301" i="6"/>
  <c r="V302" i="6"/>
  <c r="V303" i="6"/>
  <c r="V304" i="6"/>
  <c r="V305" i="6"/>
  <c r="V306" i="6"/>
  <c r="V307" i="6"/>
  <c r="V308" i="6"/>
  <c r="V309" i="6"/>
  <c r="V310" i="6"/>
  <c r="V311" i="6"/>
  <c r="V312" i="6"/>
  <c r="V313" i="6"/>
  <c r="V314" i="6"/>
  <c r="V315" i="6"/>
  <c r="V316" i="6"/>
  <c r="V317" i="6"/>
  <c r="V318" i="6"/>
  <c r="V319" i="6"/>
  <c r="V320" i="6"/>
  <c r="V321" i="6"/>
  <c r="V322" i="6"/>
  <c r="V323" i="6"/>
  <c r="V324" i="6"/>
  <c r="V325" i="6"/>
  <c r="V326" i="6"/>
  <c r="V327" i="6"/>
  <c r="V328" i="6"/>
  <c r="V329" i="6"/>
  <c r="V330" i="6"/>
  <c r="V331" i="6"/>
  <c r="V332" i="6"/>
  <c r="V333" i="6"/>
  <c r="V334" i="6"/>
  <c r="V335" i="6"/>
  <c r="V336" i="6"/>
  <c r="V337" i="6"/>
  <c r="V338" i="6"/>
  <c r="V339" i="6"/>
  <c r="V340" i="6"/>
  <c r="V341" i="6"/>
  <c r="V342" i="6"/>
  <c r="V343" i="6"/>
  <c r="V344" i="6"/>
  <c r="V345" i="6"/>
  <c r="V346" i="6"/>
  <c r="V347" i="6"/>
  <c r="V348" i="6"/>
  <c r="V349" i="6"/>
  <c r="V350" i="6"/>
  <c r="V351" i="6"/>
  <c r="V352" i="6"/>
  <c r="V353" i="6"/>
  <c r="V354" i="6"/>
  <c r="V355" i="6"/>
  <c r="V356" i="6"/>
  <c r="V357" i="6"/>
  <c r="V358" i="6"/>
  <c r="V359" i="6"/>
  <c r="V360" i="6"/>
  <c r="V361" i="6"/>
  <c r="V362" i="6"/>
  <c r="V363" i="6"/>
  <c r="V364" i="6"/>
  <c r="V365" i="6"/>
  <c r="V366" i="6"/>
  <c r="V367" i="6"/>
  <c r="V368" i="6"/>
  <c r="V369" i="6"/>
  <c r="V370" i="6"/>
  <c r="V371" i="6"/>
  <c r="V372" i="6"/>
  <c r="V373" i="6"/>
  <c r="V374" i="6"/>
  <c r="V375" i="6"/>
  <c r="V376" i="6"/>
  <c r="V377" i="6"/>
  <c r="V378" i="6"/>
  <c r="V379" i="6"/>
  <c r="V380" i="6"/>
  <c r="V381" i="6"/>
  <c r="V382" i="6"/>
  <c r="V383" i="6"/>
  <c r="V384" i="6"/>
  <c r="V385" i="6"/>
  <c r="V386" i="6"/>
  <c r="V387" i="6"/>
  <c r="V388" i="6"/>
  <c r="V389" i="6"/>
  <c r="V390" i="6"/>
  <c r="V391" i="6"/>
  <c r="V392" i="6"/>
  <c r="V393" i="6"/>
  <c r="V394" i="6"/>
  <c r="V395" i="6"/>
  <c r="V396" i="6"/>
  <c r="V397" i="6"/>
  <c r="V398" i="6"/>
  <c r="V399" i="6"/>
  <c r="V400" i="6"/>
  <c r="V401" i="6"/>
  <c r="V402" i="6"/>
  <c r="V403" i="6"/>
  <c r="V404" i="6"/>
  <c r="V405" i="6"/>
  <c r="V406" i="6"/>
  <c r="V407" i="6"/>
  <c r="V408" i="6"/>
  <c r="V409" i="6"/>
  <c r="V410" i="6"/>
  <c r="V411" i="6"/>
  <c r="V412" i="6"/>
  <c r="V413" i="6"/>
  <c r="V414" i="6"/>
  <c r="V415" i="6"/>
  <c r="V416" i="6"/>
  <c r="V417" i="6"/>
  <c r="V418" i="6"/>
  <c r="V419" i="6"/>
  <c r="V420" i="6"/>
  <c r="V421" i="6"/>
  <c r="V422" i="6"/>
  <c r="V423" i="6"/>
  <c r="V424" i="6"/>
  <c r="V425" i="6"/>
  <c r="V426" i="6"/>
  <c r="V427" i="6"/>
  <c r="V428" i="6"/>
  <c r="V429" i="6"/>
  <c r="V430" i="6"/>
  <c r="V431" i="6"/>
  <c r="V432" i="6"/>
  <c r="V433" i="6"/>
  <c r="V434" i="6"/>
  <c r="V435" i="6"/>
  <c r="V436" i="6"/>
  <c r="V437" i="6"/>
  <c r="V438" i="6"/>
  <c r="V439" i="6"/>
  <c r="V440" i="6"/>
  <c r="V441" i="6"/>
  <c r="V442" i="6"/>
  <c r="V443" i="6"/>
  <c r="V444" i="6"/>
  <c r="V445" i="6"/>
  <c r="V446" i="6"/>
  <c r="V447" i="6"/>
  <c r="V448" i="6"/>
  <c r="V449" i="6"/>
  <c r="V450" i="6"/>
  <c r="V451" i="6"/>
  <c r="V452" i="6"/>
  <c r="V453" i="6"/>
  <c r="V454" i="6"/>
  <c r="V455" i="6"/>
  <c r="V456" i="6"/>
  <c r="V457" i="6"/>
  <c r="V458" i="6"/>
  <c r="V459" i="6"/>
  <c r="V460" i="6"/>
  <c r="V461" i="6"/>
  <c r="V462" i="6"/>
  <c r="V463" i="6"/>
  <c r="V464" i="6"/>
  <c r="V465" i="6"/>
  <c r="V466" i="6"/>
  <c r="V467" i="6"/>
  <c r="V468" i="6"/>
  <c r="V469" i="6"/>
  <c r="V470" i="6"/>
  <c r="V471" i="6"/>
  <c r="V472" i="6"/>
  <c r="V473" i="6"/>
  <c r="V474" i="6"/>
  <c r="V475" i="6"/>
  <c r="V476" i="6"/>
  <c r="V477" i="6"/>
  <c r="V478" i="6"/>
  <c r="V479" i="6"/>
  <c r="V480" i="6"/>
  <c r="V481" i="6"/>
  <c r="V482" i="6"/>
  <c r="V483" i="6"/>
  <c r="V484" i="6"/>
  <c r="V485" i="6"/>
  <c r="V486" i="6"/>
  <c r="V487" i="6"/>
  <c r="V488" i="6"/>
  <c r="V489" i="6"/>
  <c r="V490" i="6"/>
  <c r="V491" i="6"/>
  <c r="V492" i="6"/>
  <c r="V493" i="6"/>
  <c r="V494" i="6"/>
  <c r="V495" i="6"/>
  <c r="V496" i="6"/>
  <c r="V497" i="6"/>
  <c r="V498" i="6"/>
  <c r="V499" i="6"/>
  <c r="V500" i="6"/>
  <c r="V501" i="6"/>
  <c r="Y2" i="6"/>
  <c r="Y3" i="6"/>
  <c r="Z3" i="6" s="1"/>
  <c r="Y4" i="6"/>
  <c r="Z4" i="6" s="1"/>
  <c r="Y5" i="6"/>
  <c r="Z5" i="6" s="1"/>
  <c r="Y6" i="6"/>
  <c r="Z6" i="6" s="1"/>
  <c r="Y7" i="6"/>
  <c r="Z7" i="6" s="1"/>
  <c r="Y8" i="6"/>
  <c r="Z8" i="6" s="1"/>
  <c r="Y9" i="6"/>
  <c r="Z9" i="6" s="1"/>
  <c r="Y10" i="6"/>
  <c r="Z10" i="6" s="1"/>
  <c r="Y11" i="6"/>
  <c r="Z11" i="6" s="1"/>
  <c r="Y12" i="6"/>
  <c r="Z12" i="6" s="1"/>
  <c r="Y13" i="6"/>
  <c r="Z13" i="6" s="1"/>
  <c r="Y14" i="6"/>
  <c r="Z14" i="6" s="1"/>
  <c r="Y15" i="6"/>
  <c r="Z15" i="6" s="1"/>
  <c r="Y16" i="6"/>
  <c r="Z16" i="6" s="1"/>
  <c r="Y17" i="6"/>
  <c r="Z17" i="6" s="1"/>
  <c r="Y18" i="6"/>
  <c r="Z18" i="6" s="1"/>
  <c r="Y19" i="6"/>
  <c r="Z19" i="6" s="1"/>
  <c r="Y20" i="6"/>
  <c r="Z20" i="6" s="1"/>
  <c r="Y21" i="6"/>
  <c r="Z21" i="6" s="1"/>
  <c r="Y22" i="6"/>
  <c r="Z22" i="6" s="1"/>
  <c r="Y23" i="6"/>
  <c r="Z23" i="6" s="1"/>
  <c r="Y24" i="6"/>
  <c r="Z24" i="6" s="1"/>
  <c r="Y25" i="6"/>
  <c r="Z25" i="6" s="1"/>
  <c r="Y26" i="6"/>
  <c r="Z26" i="6" s="1"/>
  <c r="Y27" i="6"/>
  <c r="Z27" i="6" s="1"/>
  <c r="Y28" i="6"/>
  <c r="Z28" i="6" s="1"/>
  <c r="Y29" i="6"/>
  <c r="Z29" i="6" s="1"/>
  <c r="Y30" i="6"/>
  <c r="Z30" i="6" s="1"/>
  <c r="Y31" i="6"/>
  <c r="Z31" i="6" s="1"/>
  <c r="Y32" i="6"/>
  <c r="Z32" i="6" s="1"/>
  <c r="Y33" i="6"/>
  <c r="Z33" i="6" s="1"/>
  <c r="Y34" i="6"/>
  <c r="Z34" i="6" s="1"/>
  <c r="Y35" i="6"/>
  <c r="Z35" i="6" s="1"/>
  <c r="Y36" i="6"/>
  <c r="Z36" i="6" s="1"/>
  <c r="Y37" i="6"/>
  <c r="Z37" i="6" s="1"/>
  <c r="Y38" i="6"/>
  <c r="Z38" i="6" s="1"/>
  <c r="Y39" i="6"/>
  <c r="Z39" i="6" s="1"/>
  <c r="Y40" i="6"/>
  <c r="Z40" i="6" s="1"/>
  <c r="Y41" i="6"/>
  <c r="Z41" i="6" s="1"/>
  <c r="Y42" i="6"/>
  <c r="Z42" i="6" s="1"/>
  <c r="Y43" i="6"/>
  <c r="Z43" i="6" s="1"/>
  <c r="Y44" i="6"/>
  <c r="Z44" i="6" s="1"/>
  <c r="Y45" i="6"/>
  <c r="Z45" i="6" s="1"/>
  <c r="Y46" i="6"/>
  <c r="Z46" i="6" s="1"/>
  <c r="Y47" i="6"/>
  <c r="Z47" i="6" s="1"/>
  <c r="Y48" i="6"/>
  <c r="Z48" i="6" s="1"/>
  <c r="Y49" i="6"/>
  <c r="Z49" i="6" s="1"/>
  <c r="Y50" i="6"/>
  <c r="Z50" i="6" s="1"/>
  <c r="Y51" i="6"/>
  <c r="Z51" i="6" s="1"/>
  <c r="Y52" i="6"/>
  <c r="Z52" i="6" s="1"/>
  <c r="Y53" i="6"/>
  <c r="Z53" i="6" s="1"/>
  <c r="Y54" i="6"/>
  <c r="Z54" i="6" s="1"/>
  <c r="Y55" i="6"/>
  <c r="Z55" i="6" s="1"/>
  <c r="Y56" i="6"/>
  <c r="Z56" i="6" s="1"/>
  <c r="Y57" i="6"/>
  <c r="Z57" i="6" s="1"/>
  <c r="Y58" i="6"/>
  <c r="Z58" i="6" s="1"/>
  <c r="Y59" i="6"/>
  <c r="Z59" i="6" s="1"/>
  <c r="Y60" i="6"/>
  <c r="Z60" i="6" s="1"/>
  <c r="Y61" i="6"/>
  <c r="Z61" i="6" s="1"/>
  <c r="Y62" i="6"/>
  <c r="Z62" i="6" s="1"/>
  <c r="Y63" i="6"/>
  <c r="Z63" i="6" s="1"/>
  <c r="Y64" i="6"/>
  <c r="Z64" i="6" s="1"/>
  <c r="Y65" i="6"/>
  <c r="Z65" i="6" s="1"/>
  <c r="Y66" i="6"/>
  <c r="Z66" i="6" s="1"/>
  <c r="Y67" i="6"/>
  <c r="Z67" i="6" s="1"/>
  <c r="Y68" i="6"/>
  <c r="Z68" i="6" s="1"/>
  <c r="Y69" i="6"/>
  <c r="Z69" i="6" s="1"/>
  <c r="Y70" i="6"/>
  <c r="Z70" i="6" s="1"/>
  <c r="Y71" i="6"/>
  <c r="Z71" i="6" s="1"/>
  <c r="Y72" i="6"/>
  <c r="Z72" i="6" s="1"/>
  <c r="Y73" i="6"/>
  <c r="Z73" i="6" s="1"/>
  <c r="Y74" i="6"/>
  <c r="Z74" i="6" s="1"/>
  <c r="Y75" i="6"/>
  <c r="Z75" i="6" s="1"/>
  <c r="Y76" i="6"/>
  <c r="Z76" i="6" s="1"/>
  <c r="Y77" i="6"/>
  <c r="Z77" i="6" s="1"/>
  <c r="Y78" i="6"/>
  <c r="Z78" i="6" s="1"/>
  <c r="Y79" i="6"/>
  <c r="Z79" i="6" s="1"/>
  <c r="Y80" i="6"/>
  <c r="Z80" i="6" s="1"/>
  <c r="Y81" i="6"/>
  <c r="Z81" i="6" s="1"/>
  <c r="Y82" i="6"/>
  <c r="Z82" i="6" s="1"/>
  <c r="Y83" i="6"/>
  <c r="Z83" i="6" s="1"/>
  <c r="Y84" i="6"/>
  <c r="Z84" i="6" s="1"/>
  <c r="Y85" i="6"/>
  <c r="Z85" i="6" s="1"/>
  <c r="Y86" i="6"/>
  <c r="Z86" i="6" s="1"/>
  <c r="Y87" i="6"/>
  <c r="Z87" i="6" s="1"/>
  <c r="Y88" i="6"/>
  <c r="Z88" i="6" s="1"/>
  <c r="Y89" i="6"/>
  <c r="Z89" i="6" s="1"/>
  <c r="Y90" i="6"/>
  <c r="Z90" i="6" s="1"/>
  <c r="Y91" i="6"/>
  <c r="Z91" i="6" s="1"/>
  <c r="Y92" i="6"/>
  <c r="Z92" i="6" s="1"/>
  <c r="Y93" i="6"/>
  <c r="Z93" i="6" s="1"/>
  <c r="Y94" i="6"/>
  <c r="Z94" i="6" s="1"/>
  <c r="Y95" i="6"/>
  <c r="Z95" i="6" s="1"/>
  <c r="Y96" i="6"/>
  <c r="Z96" i="6" s="1"/>
  <c r="Y97" i="6"/>
  <c r="Z97" i="6" s="1"/>
  <c r="Y98" i="6"/>
  <c r="Z98" i="6" s="1"/>
  <c r="Y99" i="6"/>
  <c r="Z99" i="6" s="1"/>
  <c r="Y100" i="6"/>
  <c r="Z100" i="6" s="1"/>
  <c r="Y101" i="6"/>
  <c r="Z101" i="6" s="1"/>
  <c r="Y102" i="6"/>
  <c r="Z102" i="6" s="1"/>
  <c r="Y103" i="6"/>
  <c r="Z103" i="6" s="1"/>
  <c r="Y104" i="6"/>
  <c r="Z104" i="6" s="1"/>
  <c r="Y105" i="6"/>
  <c r="Z105" i="6" s="1"/>
  <c r="Y106" i="6"/>
  <c r="Z106" i="6" s="1"/>
  <c r="Y107" i="6"/>
  <c r="Z107" i="6" s="1"/>
  <c r="Y108" i="6"/>
  <c r="Z108" i="6" s="1"/>
  <c r="Y109" i="6"/>
  <c r="Z109" i="6" s="1"/>
  <c r="Y110" i="6"/>
  <c r="Z110" i="6" s="1"/>
  <c r="Y111" i="6"/>
  <c r="Z111" i="6" s="1"/>
  <c r="Y112" i="6"/>
  <c r="Z112" i="6" s="1"/>
  <c r="Y113" i="6"/>
  <c r="Z113" i="6" s="1"/>
  <c r="Y114" i="6"/>
  <c r="Z114" i="6" s="1"/>
  <c r="Y115" i="6"/>
  <c r="Z115" i="6" s="1"/>
  <c r="Y116" i="6"/>
  <c r="Z116" i="6" s="1"/>
  <c r="Y117" i="6"/>
  <c r="Z117" i="6" s="1"/>
  <c r="Y118" i="6"/>
  <c r="Z118" i="6" s="1"/>
  <c r="Y119" i="6"/>
  <c r="Z119" i="6" s="1"/>
  <c r="Y120" i="6"/>
  <c r="Z120" i="6" s="1"/>
  <c r="Y121" i="6"/>
  <c r="Z121" i="6" s="1"/>
  <c r="Y122" i="6"/>
  <c r="Z122" i="6" s="1"/>
  <c r="Y123" i="6"/>
  <c r="Z123" i="6" s="1"/>
  <c r="Y124" i="6"/>
  <c r="Z124" i="6" s="1"/>
  <c r="Y125" i="6"/>
  <c r="Z125" i="6" s="1"/>
  <c r="Y126" i="6"/>
  <c r="Z126" i="6" s="1"/>
  <c r="Y127" i="6"/>
  <c r="Z127" i="6" s="1"/>
  <c r="Y128" i="6"/>
  <c r="Z128" i="6" s="1"/>
  <c r="Y129" i="6"/>
  <c r="Z129" i="6" s="1"/>
  <c r="Y130" i="6"/>
  <c r="Z130" i="6" s="1"/>
  <c r="Y131" i="6"/>
  <c r="Z131" i="6" s="1"/>
  <c r="Y132" i="6"/>
  <c r="Z132" i="6" s="1"/>
  <c r="Y133" i="6"/>
  <c r="Z133" i="6" s="1"/>
  <c r="Y134" i="6"/>
  <c r="Z134" i="6" s="1"/>
  <c r="Y135" i="6"/>
  <c r="Z135" i="6" s="1"/>
  <c r="Y136" i="6"/>
  <c r="Z136" i="6" s="1"/>
  <c r="Y137" i="6"/>
  <c r="Z137" i="6" s="1"/>
  <c r="Y138" i="6"/>
  <c r="Z138" i="6" s="1"/>
  <c r="Y139" i="6"/>
  <c r="Z139" i="6" s="1"/>
  <c r="Y140" i="6"/>
  <c r="Z140" i="6" s="1"/>
  <c r="Y141" i="6"/>
  <c r="Z141" i="6" s="1"/>
  <c r="Y142" i="6"/>
  <c r="Z142" i="6" s="1"/>
  <c r="Y143" i="6"/>
  <c r="Z143" i="6" s="1"/>
  <c r="Y144" i="6"/>
  <c r="Z144" i="6" s="1"/>
  <c r="Y145" i="6"/>
  <c r="Z145" i="6" s="1"/>
  <c r="Y146" i="6"/>
  <c r="Z146" i="6" s="1"/>
  <c r="Y147" i="6"/>
  <c r="Z147" i="6" s="1"/>
  <c r="Y148" i="6"/>
  <c r="Z148" i="6" s="1"/>
  <c r="Y149" i="6"/>
  <c r="Z149" i="6" s="1"/>
  <c r="Y150" i="6"/>
  <c r="Z150" i="6" s="1"/>
  <c r="Y151" i="6"/>
  <c r="Z151" i="6" s="1"/>
  <c r="Y152" i="6"/>
  <c r="Z152" i="6" s="1"/>
  <c r="Y153" i="6"/>
  <c r="Z153" i="6" s="1"/>
  <c r="Y154" i="6"/>
  <c r="Z154" i="6" s="1"/>
  <c r="Y155" i="6"/>
  <c r="Z155" i="6" s="1"/>
  <c r="Y156" i="6"/>
  <c r="Z156" i="6" s="1"/>
  <c r="Y157" i="6"/>
  <c r="Z157" i="6" s="1"/>
  <c r="Y158" i="6"/>
  <c r="Z158" i="6" s="1"/>
  <c r="Y159" i="6"/>
  <c r="Z159" i="6" s="1"/>
  <c r="Y160" i="6"/>
  <c r="Z160" i="6" s="1"/>
  <c r="Y161" i="6"/>
  <c r="Z161" i="6" s="1"/>
  <c r="Y162" i="6"/>
  <c r="Z162" i="6" s="1"/>
  <c r="Y163" i="6"/>
  <c r="Z163" i="6" s="1"/>
  <c r="Y164" i="6"/>
  <c r="Z164" i="6" s="1"/>
  <c r="Y165" i="6"/>
  <c r="Z165" i="6" s="1"/>
  <c r="Y166" i="6"/>
  <c r="Z166" i="6" s="1"/>
  <c r="Y167" i="6"/>
  <c r="Z167" i="6" s="1"/>
  <c r="Y168" i="6"/>
  <c r="Z168" i="6" s="1"/>
  <c r="Y169" i="6"/>
  <c r="Z169" i="6" s="1"/>
  <c r="Y170" i="6"/>
  <c r="Z170" i="6" s="1"/>
  <c r="Y171" i="6"/>
  <c r="Z171" i="6" s="1"/>
  <c r="Y172" i="6"/>
  <c r="Z172" i="6" s="1"/>
  <c r="Y173" i="6"/>
  <c r="Z173" i="6" s="1"/>
  <c r="Y174" i="6"/>
  <c r="Z174" i="6" s="1"/>
  <c r="Y175" i="6"/>
  <c r="Z175" i="6" s="1"/>
  <c r="Y176" i="6"/>
  <c r="Z176" i="6" s="1"/>
  <c r="Y177" i="6"/>
  <c r="Z177" i="6" s="1"/>
  <c r="Y178" i="6"/>
  <c r="Z178" i="6" s="1"/>
  <c r="Y179" i="6"/>
  <c r="Z179" i="6" s="1"/>
  <c r="Y180" i="6"/>
  <c r="Z180" i="6" s="1"/>
  <c r="Y181" i="6"/>
  <c r="Z181" i="6" s="1"/>
  <c r="Y182" i="6"/>
  <c r="Z182" i="6" s="1"/>
  <c r="Y183" i="6"/>
  <c r="Z183" i="6" s="1"/>
  <c r="Y184" i="6"/>
  <c r="Z184" i="6" s="1"/>
  <c r="Y185" i="6"/>
  <c r="Z185" i="6" s="1"/>
  <c r="Y186" i="6"/>
  <c r="Z186" i="6" s="1"/>
  <c r="Y187" i="6"/>
  <c r="Z187" i="6" s="1"/>
  <c r="Y188" i="6"/>
  <c r="Z188" i="6" s="1"/>
  <c r="Y189" i="6"/>
  <c r="Z189" i="6" s="1"/>
  <c r="Y190" i="6"/>
  <c r="Z190" i="6" s="1"/>
  <c r="Y191" i="6"/>
  <c r="Z191" i="6" s="1"/>
  <c r="Y192" i="6"/>
  <c r="Z192" i="6" s="1"/>
  <c r="Y193" i="6"/>
  <c r="Z193" i="6" s="1"/>
  <c r="Y194" i="6"/>
  <c r="Z194" i="6" s="1"/>
  <c r="Y195" i="6"/>
  <c r="Z195" i="6" s="1"/>
  <c r="Y196" i="6"/>
  <c r="Z196" i="6" s="1"/>
  <c r="Y197" i="6"/>
  <c r="Z197" i="6" s="1"/>
  <c r="Y198" i="6"/>
  <c r="Z198" i="6" s="1"/>
  <c r="Y199" i="6"/>
  <c r="Z199" i="6" s="1"/>
  <c r="Y200" i="6"/>
  <c r="Z200" i="6" s="1"/>
  <c r="Y201" i="6"/>
  <c r="Z201" i="6" s="1"/>
  <c r="Y202" i="6"/>
  <c r="Z202" i="6" s="1"/>
  <c r="Y203" i="6"/>
  <c r="Z203" i="6" s="1"/>
  <c r="Y204" i="6"/>
  <c r="Z204" i="6" s="1"/>
  <c r="Y205" i="6"/>
  <c r="Z205" i="6" s="1"/>
  <c r="Y206" i="6"/>
  <c r="Z206" i="6" s="1"/>
  <c r="Y207" i="6"/>
  <c r="Z207" i="6" s="1"/>
  <c r="Y208" i="6"/>
  <c r="Z208" i="6" s="1"/>
  <c r="Y209" i="6"/>
  <c r="Z209" i="6" s="1"/>
  <c r="Y210" i="6"/>
  <c r="Z210" i="6" s="1"/>
  <c r="Y211" i="6"/>
  <c r="Z211" i="6" s="1"/>
  <c r="Y212" i="6"/>
  <c r="Z212" i="6" s="1"/>
  <c r="Y213" i="6"/>
  <c r="Z213" i="6" s="1"/>
  <c r="Y214" i="6"/>
  <c r="Z214" i="6" s="1"/>
  <c r="Y215" i="6"/>
  <c r="Z215" i="6" s="1"/>
  <c r="Y216" i="6"/>
  <c r="Z216" i="6" s="1"/>
  <c r="Y217" i="6"/>
  <c r="Z217" i="6" s="1"/>
  <c r="Y218" i="6"/>
  <c r="Z218" i="6" s="1"/>
  <c r="Y219" i="6"/>
  <c r="Z219" i="6" s="1"/>
  <c r="Y220" i="6"/>
  <c r="Z220" i="6" s="1"/>
  <c r="Y221" i="6"/>
  <c r="Z221" i="6" s="1"/>
  <c r="Y222" i="6"/>
  <c r="Z222" i="6" s="1"/>
  <c r="Y223" i="6"/>
  <c r="Z223" i="6" s="1"/>
  <c r="Y224" i="6"/>
  <c r="Z224" i="6" s="1"/>
  <c r="Y225" i="6"/>
  <c r="Z225" i="6" s="1"/>
  <c r="Y226" i="6"/>
  <c r="Z226" i="6" s="1"/>
  <c r="Y227" i="6"/>
  <c r="Z227" i="6" s="1"/>
  <c r="Y228" i="6"/>
  <c r="Z228" i="6" s="1"/>
  <c r="Y229" i="6"/>
  <c r="Z229" i="6" s="1"/>
  <c r="Y230" i="6"/>
  <c r="Z230" i="6" s="1"/>
  <c r="Y231" i="6"/>
  <c r="Z231" i="6" s="1"/>
  <c r="Y232" i="6"/>
  <c r="Z232" i="6" s="1"/>
  <c r="Y233" i="6"/>
  <c r="Z233" i="6" s="1"/>
  <c r="Y234" i="6"/>
  <c r="Z234" i="6" s="1"/>
  <c r="Y235" i="6"/>
  <c r="Z235" i="6" s="1"/>
  <c r="Y236" i="6"/>
  <c r="Z236" i="6" s="1"/>
  <c r="Y237" i="6"/>
  <c r="Z237" i="6" s="1"/>
  <c r="Y238" i="6"/>
  <c r="Z238" i="6" s="1"/>
  <c r="Y239" i="6"/>
  <c r="Z239" i="6" s="1"/>
  <c r="Y240" i="6"/>
  <c r="Z240" i="6" s="1"/>
  <c r="Y241" i="6"/>
  <c r="Z241" i="6" s="1"/>
  <c r="Y242" i="6"/>
  <c r="Z242" i="6" s="1"/>
  <c r="Y243" i="6"/>
  <c r="Z243" i="6" s="1"/>
  <c r="Y244" i="6"/>
  <c r="Z244" i="6" s="1"/>
  <c r="Y245" i="6"/>
  <c r="Z245" i="6" s="1"/>
  <c r="Y246" i="6"/>
  <c r="Z246" i="6" s="1"/>
  <c r="Y247" i="6"/>
  <c r="Z247" i="6" s="1"/>
  <c r="Y248" i="6"/>
  <c r="Z248" i="6" s="1"/>
  <c r="Y249" i="6"/>
  <c r="Z249" i="6" s="1"/>
  <c r="Y250" i="6"/>
  <c r="Z250" i="6" s="1"/>
  <c r="Y251" i="6"/>
  <c r="Z251" i="6" s="1"/>
  <c r="Y252" i="6"/>
  <c r="Z252" i="6" s="1"/>
  <c r="Y253" i="6"/>
  <c r="Z253" i="6" s="1"/>
  <c r="Y254" i="6"/>
  <c r="Z254" i="6" s="1"/>
  <c r="Y255" i="6"/>
  <c r="Z255" i="6" s="1"/>
  <c r="Y256" i="6"/>
  <c r="Z256" i="6" s="1"/>
  <c r="Y257" i="6"/>
  <c r="Z257" i="6" s="1"/>
  <c r="Y258" i="6"/>
  <c r="Z258" i="6" s="1"/>
  <c r="Y259" i="6"/>
  <c r="Z259" i="6" s="1"/>
  <c r="Y260" i="6"/>
  <c r="Z260" i="6" s="1"/>
  <c r="Y261" i="6"/>
  <c r="Z261" i="6" s="1"/>
  <c r="Y262" i="6"/>
  <c r="Z262" i="6" s="1"/>
  <c r="Y263" i="6"/>
  <c r="Z263" i="6" s="1"/>
  <c r="Y264" i="6"/>
  <c r="Z264" i="6" s="1"/>
  <c r="Y265" i="6"/>
  <c r="Z265" i="6" s="1"/>
  <c r="Y266" i="6"/>
  <c r="Z266" i="6" s="1"/>
  <c r="Y267" i="6"/>
  <c r="Z267" i="6" s="1"/>
  <c r="Y268" i="6"/>
  <c r="Z268" i="6" s="1"/>
  <c r="Y269" i="6"/>
  <c r="Z269" i="6" s="1"/>
  <c r="Y270" i="6"/>
  <c r="Z270" i="6" s="1"/>
  <c r="Y271" i="6"/>
  <c r="Z271" i="6" s="1"/>
  <c r="Y272" i="6"/>
  <c r="Z272" i="6" s="1"/>
  <c r="Y273" i="6"/>
  <c r="Z273" i="6" s="1"/>
  <c r="Y274" i="6"/>
  <c r="Z274" i="6" s="1"/>
  <c r="Y275" i="6"/>
  <c r="Z275" i="6" s="1"/>
  <c r="Y276" i="6"/>
  <c r="Z276" i="6" s="1"/>
  <c r="Y277" i="6"/>
  <c r="Z277" i="6" s="1"/>
  <c r="Y278" i="6"/>
  <c r="Z278" i="6" s="1"/>
  <c r="Y279" i="6"/>
  <c r="Z279" i="6" s="1"/>
  <c r="Y280" i="6"/>
  <c r="Z280" i="6" s="1"/>
  <c r="Y281" i="6"/>
  <c r="Z281" i="6" s="1"/>
  <c r="Y282" i="6"/>
  <c r="Z282" i="6" s="1"/>
  <c r="Y283" i="6"/>
  <c r="Z283" i="6" s="1"/>
  <c r="Y284" i="6"/>
  <c r="Z284" i="6" s="1"/>
  <c r="Y285" i="6"/>
  <c r="Z285" i="6" s="1"/>
  <c r="Y286" i="6"/>
  <c r="Z286" i="6" s="1"/>
  <c r="Y287" i="6"/>
  <c r="Z287" i="6" s="1"/>
  <c r="Y288" i="6"/>
  <c r="Z288" i="6" s="1"/>
  <c r="Y289" i="6"/>
  <c r="Z289" i="6" s="1"/>
  <c r="Y290" i="6"/>
  <c r="Z290" i="6" s="1"/>
  <c r="Y291" i="6"/>
  <c r="Z291" i="6" s="1"/>
  <c r="Y292" i="6"/>
  <c r="Z292" i="6" s="1"/>
  <c r="Y293" i="6"/>
  <c r="Z293" i="6" s="1"/>
  <c r="Y294" i="6"/>
  <c r="Z294" i="6" s="1"/>
  <c r="Y295" i="6"/>
  <c r="Z295" i="6" s="1"/>
  <c r="Y296" i="6"/>
  <c r="Z296" i="6" s="1"/>
  <c r="Y297" i="6"/>
  <c r="Z297" i="6" s="1"/>
  <c r="Y298" i="6"/>
  <c r="Z298" i="6" s="1"/>
  <c r="Y299" i="6"/>
  <c r="Z299" i="6" s="1"/>
  <c r="Y300" i="6"/>
  <c r="Z300" i="6" s="1"/>
  <c r="Y301" i="6"/>
  <c r="Z301" i="6" s="1"/>
  <c r="Y302" i="6"/>
  <c r="Z302" i="6" s="1"/>
  <c r="Y303" i="6"/>
  <c r="Z303" i="6" s="1"/>
  <c r="Y304" i="6"/>
  <c r="Z304" i="6" s="1"/>
  <c r="Y305" i="6"/>
  <c r="Z305" i="6" s="1"/>
  <c r="Y306" i="6"/>
  <c r="Z306" i="6" s="1"/>
  <c r="Y307" i="6"/>
  <c r="Z307" i="6" s="1"/>
  <c r="Y308" i="6"/>
  <c r="Z308" i="6" s="1"/>
  <c r="Y309" i="6"/>
  <c r="Z309" i="6" s="1"/>
  <c r="Y310" i="6"/>
  <c r="Z310" i="6" s="1"/>
  <c r="Y311" i="6"/>
  <c r="Z311" i="6" s="1"/>
  <c r="Y312" i="6"/>
  <c r="Z312" i="6" s="1"/>
  <c r="Y313" i="6"/>
  <c r="Z313" i="6" s="1"/>
  <c r="Y314" i="6"/>
  <c r="Z314" i="6" s="1"/>
  <c r="Y315" i="6"/>
  <c r="Z315" i="6" s="1"/>
  <c r="Y316" i="6"/>
  <c r="Z316" i="6" s="1"/>
  <c r="Y317" i="6"/>
  <c r="Z317" i="6" s="1"/>
  <c r="Y318" i="6"/>
  <c r="Z318" i="6" s="1"/>
  <c r="Y319" i="6"/>
  <c r="Z319" i="6" s="1"/>
  <c r="Y320" i="6"/>
  <c r="Z320" i="6" s="1"/>
  <c r="Y321" i="6"/>
  <c r="Z321" i="6" s="1"/>
  <c r="Y322" i="6"/>
  <c r="Z322" i="6" s="1"/>
  <c r="Y323" i="6"/>
  <c r="Z323" i="6" s="1"/>
  <c r="Y324" i="6"/>
  <c r="Z324" i="6" s="1"/>
  <c r="Y325" i="6"/>
  <c r="Z325" i="6" s="1"/>
  <c r="Y326" i="6"/>
  <c r="Z326" i="6" s="1"/>
  <c r="Y327" i="6"/>
  <c r="Z327" i="6" s="1"/>
  <c r="Y328" i="6"/>
  <c r="Z328" i="6" s="1"/>
  <c r="Y329" i="6"/>
  <c r="Z329" i="6" s="1"/>
  <c r="Y330" i="6"/>
  <c r="Z330" i="6" s="1"/>
  <c r="Y331" i="6"/>
  <c r="Z331" i="6" s="1"/>
  <c r="Y332" i="6"/>
  <c r="Z332" i="6" s="1"/>
  <c r="Y333" i="6"/>
  <c r="Z333" i="6" s="1"/>
  <c r="Y334" i="6"/>
  <c r="Z334" i="6" s="1"/>
  <c r="Y335" i="6"/>
  <c r="Z335" i="6" s="1"/>
  <c r="Y336" i="6"/>
  <c r="Z336" i="6" s="1"/>
  <c r="Y337" i="6"/>
  <c r="Z337" i="6" s="1"/>
  <c r="Y338" i="6"/>
  <c r="Z338" i="6" s="1"/>
  <c r="Y339" i="6"/>
  <c r="Z339" i="6" s="1"/>
  <c r="Y340" i="6"/>
  <c r="Z340" i="6" s="1"/>
  <c r="Y341" i="6"/>
  <c r="Z341" i="6" s="1"/>
  <c r="Y342" i="6"/>
  <c r="Z342" i="6" s="1"/>
  <c r="Y343" i="6"/>
  <c r="Z343" i="6" s="1"/>
  <c r="Y344" i="6"/>
  <c r="Z344" i="6" s="1"/>
  <c r="Y345" i="6"/>
  <c r="Z345" i="6" s="1"/>
  <c r="Y346" i="6"/>
  <c r="Z346" i="6" s="1"/>
  <c r="Y347" i="6"/>
  <c r="Z347" i="6" s="1"/>
  <c r="Y348" i="6"/>
  <c r="Z348" i="6" s="1"/>
  <c r="Y349" i="6"/>
  <c r="Z349" i="6" s="1"/>
  <c r="Y350" i="6"/>
  <c r="Z350" i="6" s="1"/>
  <c r="Y351" i="6"/>
  <c r="Z351" i="6" s="1"/>
  <c r="Y352" i="6"/>
  <c r="Z352" i="6" s="1"/>
  <c r="Y353" i="6"/>
  <c r="Z353" i="6" s="1"/>
  <c r="Y354" i="6"/>
  <c r="Z354" i="6" s="1"/>
  <c r="Y355" i="6"/>
  <c r="Z355" i="6" s="1"/>
  <c r="Y356" i="6"/>
  <c r="Z356" i="6" s="1"/>
  <c r="Y357" i="6"/>
  <c r="Z357" i="6" s="1"/>
  <c r="Y358" i="6"/>
  <c r="Z358" i="6" s="1"/>
  <c r="Y359" i="6"/>
  <c r="Z359" i="6" s="1"/>
  <c r="Y360" i="6"/>
  <c r="Z360" i="6" s="1"/>
  <c r="Y361" i="6"/>
  <c r="Z361" i="6" s="1"/>
  <c r="Y362" i="6"/>
  <c r="Z362" i="6" s="1"/>
  <c r="Y363" i="6"/>
  <c r="Z363" i="6" s="1"/>
  <c r="Y364" i="6"/>
  <c r="Z364" i="6" s="1"/>
  <c r="Y365" i="6"/>
  <c r="Z365" i="6" s="1"/>
  <c r="Y366" i="6"/>
  <c r="Z366" i="6" s="1"/>
  <c r="Y367" i="6"/>
  <c r="Z367" i="6" s="1"/>
  <c r="Y368" i="6"/>
  <c r="Z368" i="6" s="1"/>
  <c r="Y369" i="6"/>
  <c r="Z369" i="6" s="1"/>
  <c r="Y370" i="6"/>
  <c r="Z370" i="6" s="1"/>
  <c r="Y371" i="6"/>
  <c r="Z371" i="6" s="1"/>
  <c r="Y372" i="6"/>
  <c r="Z372" i="6" s="1"/>
  <c r="Y373" i="6"/>
  <c r="Z373" i="6" s="1"/>
  <c r="Y374" i="6"/>
  <c r="Z374" i="6" s="1"/>
  <c r="Y375" i="6"/>
  <c r="Z375" i="6" s="1"/>
  <c r="Y376" i="6"/>
  <c r="Z376" i="6" s="1"/>
  <c r="Y377" i="6"/>
  <c r="Z377" i="6" s="1"/>
  <c r="Y378" i="6"/>
  <c r="Z378" i="6" s="1"/>
  <c r="Y379" i="6"/>
  <c r="Z379" i="6" s="1"/>
  <c r="Y380" i="6"/>
  <c r="Z380" i="6" s="1"/>
  <c r="Y381" i="6"/>
  <c r="Z381" i="6" s="1"/>
  <c r="Y382" i="6"/>
  <c r="Z382" i="6" s="1"/>
  <c r="Y383" i="6"/>
  <c r="Z383" i="6" s="1"/>
  <c r="Y384" i="6"/>
  <c r="Z384" i="6" s="1"/>
  <c r="Y385" i="6"/>
  <c r="Z385" i="6" s="1"/>
  <c r="Y386" i="6"/>
  <c r="Z386" i="6" s="1"/>
  <c r="Y387" i="6"/>
  <c r="Z387" i="6" s="1"/>
  <c r="Y388" i="6"/>
  <c r="Z388" i="6" s="1"/>
  <c r="Y389" i="6"/>
  <c r="Z389" i="6" s="1"/>
  <c r="Y390" i="6"/>
  <c r="Z390" i="6" s="1"/>
  <c r="Y391" i="6"/>
  <c r="Z391" i="6" s="1"/>
  <c r="Y392" i="6"/>
  <c r="Z392" i="6" s="1"/>
  <c r="Y393" i="6"/>
  <c r="Z393" i="6" s="1"/>
  <c r="Y394" i="6"/>
  <c r="Z394" i="6" s="1"/>
  <c r="Y395" i="6"/>
  <c r="Z395" i="6" s="1"/>
  <c r="Y396" i="6"/>
  <c r="Z396" i="6" s="1"/>
  <c r="Y397" i="6"/>
  <c r="Z397" i="6" s="1"/>
  <c r="Y398" i="6"/>
  <c r="Z398" i="6" s="1"/>
  <c r="Y399" i="6"/>
  <c r="Z399" i="6" s="1"/>
  <c r="Y400" i="6"/>
  <c r="Z400" i="6" s="1"/>
  <c r="Y401" i="6"/>
  <c r="Z401" i="6" s="1"/>
  <c r="Y402" i="6"/>
  <c r="Z402" i="6" s="1"/>
  <c r="Y403" i="6"/>
  <c r="Z403" i="6" s="1"/>
  <c r="Y404" i="6"/>
  <c r="Z404" i="6" s="1"/>
  <c r="Y405" i="6"/>
  <c r="Z405" i="6" s="1"/>
  <c r="Y406" i="6"/>
  <c r="Z406" i="6" s="1"/>
  <c r="Y407" i="6"/>
  <c r="Z407" i="6" s="1"/>
  <c r="Y408" i="6"/>
  <c r="Z408" i="6" s="1"/>
  <c r="Y409" i="6"/>
  <c r="Z409" i="6" s="1"/>
  <c r="Y410" i="6"/>
  <c r="Z410" i="6" s="1"/>
  <c r="Y411" i="6"/>
  <c r="Z411" i="6" s="1"/>
  <c r="Y412" i="6"/>
  <c r="Z412" i="6" s="1"/>
  <c r="Y413" i="6"/>
  <c r="Z413" i="6" s="1"/>
  <c r="Y414" i="6"/>
  <c r="Z414" i="6" s="1"/>
  <c r="Y415" i="6"/>
  <c r="Z415" i="6" s="1"/>
  <c r="Y416" i="6"/>
  <c r="Z416" i="6" s="1"/>
  <c r="Y417" i="6"/>
  <c r="Z417" i="6" s="1"/>
  <c r="Y418" i="6"/>
  <c r="Z418" i="6" s="1"/>
  <c r="Y419" i="6"/>
  <c r="Z419" i="6" s="1"/>
  <c r="Y420" i="6"/>
  <c r="Z420" i="6" s="1"/>
  <c r="Y421" i="6"/>
  <c r="Z421" i="6" s="1"/>
  <c r="Y422" i="6"/>
  <c r="Z422" i="6" s="1"/>
  <c r="Y423" i="6"/>
  <c r="Z423" i="6" s="1"/>
  <c r="Y424" i="6"/>
  <c r="Z424" i="6" s="1"/>
  <c r="Y425" i="6"/>
  <c r="Z425" i="6" s="1"/>
  <c r="Y426" i="6"/>
  <c r="Z426" i="6" s="1"/>
  <c r="Y427" i="6"/>
  <c r="Z427" i="6" s="1"/>
  <c r="Y428" i="6"/>
  <c r="Z428" i="6" s="1"/>
  <c r="Y429" i="6"/>
  <c r="Z429" i="6" s="1"/>
  <c r="Y430" i="6"/>
  <c r="Z430" i="6" s="1"/>
  <c r="Y431" i="6"/>
  <c r="Z431" i="6" s="1"/>
  <c r="Y432" i="6"/>
  <c r="Z432" i="6" s="1"/>
  <c r="Y433" i="6"/>
  <c r="Z433" i="6" s="1"/>
  <c r="Y434" i="6"/>
  <c r="Z434" i="6" s="1"/>
  <c r="Y435" i="6"/>
  <c r="Z435" i="6" s="1"/>
  <c r="Y436" i="6"/>
  <c r="Z436" i="6" s="1"/>
  <c r="Y437" i="6"/>
  <c r="Z437" i="6" s="1"/>
  <c r="Y438" i="6"/>
  <c r="Z438" i="6" s="1"/>
  <c r="Y439" i="6"/>
  <c r="Z439" i="6" s="1"/>
  <c r="Y440" i="6"/>
  <c r="Z440" i="6" s="1"/>
  <c r="Y441" i="6"/>
  <c r="Z441" i="6" s="1"/>
  <c r="Y442" i="6"/>
  <c r="Z442" i="6" s="1"/>
  <c r="Y443" i="6"/>
  <c r="Z443" i="6" s="1"/>
  <c r="Y444" i="6"/>
  <c r="Z444" i="6" s="1"/>
  <c r="Y445" i="6"/>
  <c r="Z445" i="6" s="1"/>
  <c r="Y446" i="6"/>
  <c r="Z446" i="6" s="1"/>
  <c r="Y447" i="6"/>
  <c r="Z447" i="6" s="1"/>
  <c r="Y448" i="6"/>
  <c r="Z448" i="6" s="1"/>
  <c r="Y449" i="6"/>
  <c r="Z449" i="6" s="1"/>
  <c r="Y450" i="6"/>
  <c r="Z450" i="6" s="1"/>
  <c r="Y451" i="6"/>
  <c r="Z451" i="6" s="1"/>
  <c r="Y452" i="6"/>
  <c r="Z452" i="6" s="1"/>
  <c r="Y453" i="6"/>
  <c r="Z453" i="6" s="1"/>
  <c r="Y454" i="6"/>
  <c r="Z454" i="6" s="1"/>
  <c r="Y455" i="6"/>
  <c r="Z455" i="6" s="1"/>
  <c r="Y456" i="6"/>
  <c r="Z456" i="6" s="1"/>
  <c r="Y457" i="6"/>
  <c r="Z457" i="6" s="1"/>
  <c r="Y458" i="6"/>
  <c r="Z458" i="6" s="1"/>
  <c r="Y459" i="6"/>
  <c r="Z459" i="6" s="1"/>
  <c r="Y460" i="6"/>
  <c r="Z460" i="6" s="1"/>
  <c r="Y461" i="6"/>
  <c r="Z461" i="6" s="1"/>
  <c r="Y462" i="6"/>
  <c r="Z462" i="6" s="1"/>
  <c r="Y463" i="6"/>
  <c r="Z463" i="6" s="1"/>
  <c r="Y464" i="6"/>
  <c r="Z464" i="6" s="1"/>
  <c r="Y465" i="6"/>
  <c r="Z465" i="6" s="1"/>
  <c r="Y466" i="6"/>
  <c r="Z466" i="6" s="1"/>
  <c r="Y467" i="6"/>
  <c r="Z467" i="6" s="1"/>
  <c r="Y468" i="6"/>
  <c r="Z468" i="6" s="1"/>
  <c r="Y469" i="6"/>
  <c r="Z469" i="6" s="1"/>
  <c r="Y470" i="6"/>
  <c r="Z470" i="6" s="1"/>
  <c r="Y471" i="6"/>
  <c r="Z471" i="6" s="1"/>
  <c r="Y472" i="6"/>
  <c r="Z472" i="6" s="1"/>
  <c r="Y473" i="6"/>
  <c r="Z473" i="6" s="1"/>
  <c r="Y474" i="6"/>
  <c r="Z474" i="6" s="1"/>
  <c r="Y475" i="6"/>
  <c r="Z475" i="6" s="1"/>
  <c r="Y476" i="6"/>
  <c r="Z476" i="6" s="1"/>
  <c r="Y477" i="6"/>
  <c r="Z477" i="6" s="1"/>
  <c r="Y478" i="6"/>
  <c r="Z478" i="6" s="1"/>
  <c r="Y479" i="6"/>
  <c r="Z479" i="6" s="1"/>
  <c r="Y480" i="6"/>
  <c r="Z480" i="6" s="1"/>
  <c r="Y481" i="6"/>
  <c r="Z481" i="6" s="1"/>
  <c r="Y482" i="6"/>
  <c r="Z482" i="6" s="1"/>
  <c r="Y483" i="6"/>
  <c r="Z483" i="6" s="1"/>
  <c r="Y484" i="6"/>
  <c r="Z484" i="6" s="1"/>
  <c r="Y485" i="6"/>
  <c r="Z485" i="6" s="1"/>
  <c r="Y486" i="6"/>
  <c r="Z486" i="6" s="1"/>
  <c r="Y487" i="6"/>
  <c r="Z487" i="6" s="1"/>
  <c r="Y488" i="6"/>
  <c r="Z488" i="6" s="1"/>
  <c r="Y489" i="6"/>
  <c r="Z489" i="6" s="1"/>
  <c r="Y490" i="6"/>
  <c r="Z490" i="6" s="1"/>
  <c r="Y491" i="6"/>
  <c r="Z491" i="6" s="1"/>
  <c r="Y492" i="6"/>
  <c r="Z492" i="6" s="1"/>
  <c r="Y493" i="6"/>
  <c r="Z493" i="6" s="1"/>
  <c r="Y494" i="6"/>
  <c r="Z494" i="6" s="1"/>
  <c r="Y495" i="6"/>
  <c r="Z495" i="6" s="1"/>
  <c r="Y496" i="6"/>
  <c r="Z496" i="6" s="1"/>
  <c r="Y497" i="6"/>
  <c r="Z497" i="6" s="1"/>
  <c r="Y498" i="6"/>
  <c r="Z498" i="6" s="1"/>
  <c r="Y499" i="6"/>
  <c r="Z499" i="6" s="1"/>
  <c r="Y500" i="6"/>
  <c r="Z500" i="6" s="1"/>
  <c r="Y501" i="6"/>
  <c r="Z501" i="6" s="1"/>
  <c r="AA15" i="6" l="1"/>
  <c r="AA16" i="6"/>
  <c r="AA17" i="6"/>
  <c r="AA260" i="6"/>
  <c r="X260" i="6" s="1"/>
  <c r="AA261" i="6"/>
  <c r="X261" i="6" s="1"/>
  <c r="AA262" i="6"/>
  <c r="X262" i="6" s="1"/>
  <c r="AA263" i="6"/>
  <c r="X263" i="6" s="1"/>
  <c r="AA264" i="6"/>
  <c r="X264" i="6" s="1"/>
  <c r="AA265" i="6"/>
  <c r="X265" i="6" s="1"/>
  <c r="AA266" i="6"/>
  <c r="X266" i="6" s="1"/>
  <c r="AA267" i="6"/>
  <c r="X267" i="6" s="1"/>
  <c r="AA268" i="6"/>
  <c r="X268" i="6" s="1"/>
  <c r="AA269" i="6"/>
  <c r="X269" i="6" s="1"/>
  <c r="AA270" i="6"/>
  <c r="X270" i="6" s="1"/>
  <c r="AA271" i="6"/>
  <c r="X271" i="6" s="1"/>
  <c r="AA272" i="6"/>
  <c r="X272" i="6" s="1"/>
  <c r="AA273" i="6"/>
  <c r="X273" i="6" s="1"/>
  <c r="AA274" i="6"/>
  <c r="X274" i="6" s="1"/>
  <c r="AA275" i="6"/>
  <c r="X275" i="6" s="1"/>
  <c r="AA276" i="6"/>
  <c r="X276" i="6" s="1"/>
  <c r="AA277" i="6"/>
  <c r="X277" i="6" s="1"/>
  <c r="AA278" i="6"/>
  <c r="X278" i="6" s="1"/>
  <c r="AA279" i="6"/>
  <c r="X279" i="6" s="1"/>
  <c r="AA280" i="6"/>
  <c r="X280" i="6" s="1"/>
  <c r="AA281" i="6"/>
  <c r="X281" i="6" s="1"/>
  <c r="AA282" i="6"/>
  <c r="X282" i="6" s="1"/>
  <c r="AA283" i="6"/>
  <c r="X283" i="6" s="1"/>
  <c r="AA284" i="6"/>
  <c r="X284" i="6" s="1"/>
  <c r="AA285" i="6"/>
  <c r="X285" i="6" s="1"/>
  <c r="AA286" i="6"/>
  <c r="X286" i="6" s="1"/>
  <c r="AA287" i="6"/>
  <c r="X287" i="6" s="1"/>
  <c r="AA288" i="6"/>
  <c r="X288" i="6" s="1"/>
  <c r="AA289" i="6"/>
  <c r="X289" i="6" s="1"/>
  <c r="AA290" i="6"/>
  <c r="X290" i="6" s="1"/>
  <c r="AA291" i="6"/>
  <c r="X291" i="6" s="1"/>
  <c r="AA292" i="6"/>
  <c r="X292" i="6" s="1"/>
  <c r="AA293" i="6"/>
  <c r="X293" i="6" s="1"/>
  <c r="AA294" i="6"/>
  <c r="X294" i="6" s="1"/>
  <c r="AA295" i="6"/>
  <c r="X295" i="6" s="1"/>
  <c r="AA296" i="6"/>
  <c r="X296" i="6" s="1"/>
  <c r="AA297" i="6"/>
  <c r="X297" i="6" s="1"/>
  <c r="AA298" i="6"/>
  <c r="X298" i="6" s="1"/>
  <c r="AA299" i="6"/>
  <c r="X299" i="6" s="1"/>
  <c r="AA300" i="6"/>
  <c r="X300" i="6" s="1"/>
  <c r="AA301" i="6"/>
  <c r="X301" i="6" s="1"/>
  <c r="AA302" i="6"/>
  <c r="X302" i="6" s="1"/>
  <c r="AA303" i="6"/>
  <c r="X303" i="6" s="1"/>
  <c r="AA304" i="6"/>
  <c r="X304" i="6" s="1"/>
  <c r="AA305" i="6"/>
  <c r="X305" i="6" s="1"/>
  <c r="AA306" i="6"/>
  <c r="X306" i="6" s="1"/>
  <c r="AA307" i="6"/>
  <c r="X307" i="6" s="1"/>
  <c r="AA308" i="6"/>
  <c r="X308" i="6" s="1"/>
  <c r="AA309" i="6"/>
  <c r="X309" i="6" s="1"/>
  <c r="AA310" i="6"/>
  <c r="X310" i="6" s="1"/>
  <c r="AA311" i="6"/>
  <c r="X311" i="6" s="1"/>
  <c r="AA312" i="6"/>
  <c r="X312" i="6" s="1"/>
  <c r="AA313" i="6"/>
  <c r="X313" i="6" s="1"/>
  <c r="AA314" i="6"/>
  <c r="X314" i="6" s="1"/>
  <c r="AA315" i="6"/>
  <c r="X315" i="6" s="1"/>
  <c r="AA316" i="6"/>
  <c r="X316" i="6" s="1"/>
  <c r="AA317" i="6"/>
  <c r="X317" i="6" s="1"/>
  <c r="AA318" i="6"/>
  <c r="X318" i="6" s="1"/>
  <c r="AA319" i="6"/>
  <c r="X319" i="6" s="1"/>
  <c r="AA320" i="6"/>
  <c r="X320" i="6" s="1"/>
  <c r="AA321" i="6"/>
  <c r="X321" i="6" s="1"/>
  <c r="AA322" i="6"/>
  <c r="X322" i="6" s="1"/>
  <c r="AA323" i="6"/>
  <c r="X323" i="6" s="1"/>
  <c r="AA324" i="6"/>
  <c r="X324" i="6" s="1"/>
  <c r="AA325" i="6"/>
  <c r="X325" i="6" s="1"/>
  <c r="AA326" i="6"/>
  <c r="X326" i="6" s="1"/>
  <c r="AA327" i="6"/>
  <c r="X327" i="6" s="1"/>
  <c r="AA328" i="6"/>
  <c r="X328" i="6" s="1"/>
  <c r="AA329" i="6"/>
  <c r="X329" i="6" s="1"/>
  <c r="AA330" i="6"/>
  <c r="X330" i="6" s="1"/>
  <c r="AA331" i="6"/>
  <c r="X331" i="6" s="1"/>
  <c r="AA332" i="6"/>
  <c r="X332" i="6" s="1"/>
  <c r="AA333" i="6"/>
  <c r="X333" i="6" s="1"/>
  <c r="AA334" i="6"/>
  <c r="X334" i="6" s="1"/>
  <c r="AA335" i="6"/>
  <c r="X335" i="6" s="1"/>
  <c r="AA336" i="6"/>
  <c r="X336" i="6" s="1"/>
  <c r="AA337" i="6"/>
  <c r="X337" i="6" s="1"/>
  <c r="AA338" i="6"/>
  <c r="X338" i="6" s="1"/>
  <c r="AA339" i="6"/>
  <c r="X339" i="6" s="1"/>
  <c r="AA340" i="6"/>
  <c r="X340" i="6" s="1"/>
  <c r="AA341" i="6"/>
  <c r="X341" i="6" s="1"/>
  <c r="AA342" i="6"/>
  <c r="X342" i="6" s="1"/>
  <c r="AA343" i="6"/>
  <c r="X343" i="6" s="1"/>
  <c r="AA344" i="6"/>
  <c r="X344" i="6" s="1"/>
  <c r="AA345" i="6"/>
  <c r="X345" i="6" s="1"/>
  <c r="AA346" i="6"/>
  <c r="X346" i="6" s="1"/>
  <c r="AA347" i="6"/>
  <c r="X347" i="6" s="1"/>
  <c r="AA348" i="6"/>
  <c r="X348" i="6" s="1"/>
  <c r="AA349" i="6"/>
  <c r="X349" i="6" s="1"/>
  <c r="AA350" i="6"/>
  <c r="X350" i="6" s="1"/>
  <c r="AA351" i="6"/>
  <c r="X351" i="6" s="1"/>
  <c r="AA352" i="6"/>
  <c r="X352" i="6" s="1"/>
  <c r="AA353" i="6"/>
  <c r="X353" i="6" s="1"/>
  <c r="AA354" i="6"/>
  <c r="X354" i="6" s="1"/>
  <c r="AA406" i="6"/>
  <c r="X406" i="6" s="1"/>
  <c r="AA407" i="6"/>
  <c r="X407" i="6" s="1"/>
  <c r="AA408" i="6"/>
  <c r="X408" i="6" s="1"/>
  <c r="AA409" i="6"/>
  <c r="X409" i="6" s="1"/>
  <c r="AA410" i="6"/>
  <c r="X410" i="6" s="1"/>
  <c r="AA411" i="6"/>
  <c r="X411" i="6" s="1"/>
  <c r="AA412" i="6"/>
  <c r="X412" i="6" s="1"/>
  <c r="AA413" i="6"/>
  <c r="X413" i="6" s="1"/>
  <c r="AA414" i="6"/>
  <c r="X414" i="6" s="1"/>
  <c r="AA415" i="6"/>
  <c r="X415" i="6" s="1"/>
  <c r="AA416" i="6"/>
  <c r="X416" i="6" s="1"/>
  <c r="AA417" i="6"/>
  <c r="X417" i="6" s="1"/>
  <c r="AA418" i="6"/>
  <c r="X418" i="6" s="1"/>
  <c r="AA419" i="6"/>
  <c r="X419" i="6" s="1"/>
  <c r="AA420" i="6"/>
  <c r="X420" i="6" s="1"/>
  <c r="AA421" i="6"/>
  <c r="X421" i="6" s="1"/>
  <c r="AA422" i="6"/>
  <c r="X422" i="6" s="1"/>
  <c r="AA423" i="6"/>
  <c r="X423" i="6" s="1"/>
  <c r="AA424" i="6"/>
  <c r="X424" i="6" s="1"/>
  <c r="AA425" i="6"/>
  <c r="X425" i="6" s="1"/>
  <c r="AA426" i="6"/>
  <c r="X426" i="6" s="1"/>
  <c r="AA427" i="6"/>
  <c r="X427" i="6" s="1"/>
  <c r="AA428" i="6"/>
  <c r="X428" i="6" s="1"/>
  <c r="AA429" i="6"/>
  <c r="X429" i="6" s="1"/>
  <c r="AA430" i="6"/>
  <c r="X430" i="6" s="1"/>
  <c r="AA431" i="6"/>
  <c r="X431" i="6" s="1"/>
  <c r="AA432" i="6"/>
  <c r="X432" i="6" s="1"/>
  <c r="AA433" i="6"/>
  <c r="X433" i="6" s="1"/>
  <c r="AA434" i="6"/>
  <c r="X434" i="6" s="1"/>
  <c r="AA435" i="6"/>
  <c r="X435" i="6" s="1"/>
  <c r="AA436" i="6"/>
  <c r="X436" i="6" s="1"/>
  <c r="AA437" i="6"/>
  <c r="X437" i="6" s="1"/>
  <c r="AA438" i="6"/>
  <c r="X438" i="6" s="1"/>
  <c r="AA439" i="6"/>
  <c r="X439" i="6" s="1"/>
  <c r="AA440" i="6"/>
  <c r="X440" i="6" s="1"/>
  <c r="AA441" i="6"/>
  <c r="X441" i="6" s="1"/>
  <c r="AA442" i="6"/>
  <c r="X442" i="6" s="1"/>
  <c r="AA443" i="6"/>
  <c r="X443" i="6" s="1"/>
  <c r="AA444" i="6"/>
  <c r="X444" i="6" s="1"/>
  <c r="AA445" i="6"/>
  <c r="X445" i="6" s="1"/>
  <c r="AA446" i="6"/>
  <c r="X446" i="6" s="1"/>
  <c r="AA447" i="6"/>
  <c r="X447" i="6" s="1"/>
  <c r="AA448" i="6"/>
  <c r="X448" i="6" s="1"/>
  <c r="AA449" i="6"/>
  <c r="X449" i="6" s="1"/>
  <c r="AA450" i="6"/>
  <c r="X450" i="6" s="1"/>
  <c r="AA451" i="6"/>
  <c r="X451" i="6" s="1"/>
  <c r="AA452" i="6"/>
  <c r="X452" i="6" s="1"/>
  <c r="AA453" i="6"/>
  <c r="X453" i="6" s="1"/>
  <c r="AA454" i="6"/>
  <c r="X454" i="6" s="1"/>
  <c r="AA455" i="6"/>
  <c r="X455" i="6" s="1"/>
  <c r="AA456" i="6"/>
  <c r="X456" i="6" s="1"/>
  <c r="AA457" i="6"/>
  <c r="X457" i="6" s="1"/>
  <c r="AA458" i="6"/>
  <c r="X458" i="6" s="1"/>
  <c r="AA459" i="6"/>
  <c r="X459" i="6" s="1"/>
  <c r="AA460" i="6"/>
  <c r="X460" i="6" s="1"/>
  <c r="AA461" i="6"/>
  <c r="X461" i="6" s="1"/>
  <c r="AA462" i="6"/>
  <c r="X462" i="6" s="1"/>
  <c r="AA463" i="6"/>
  <c r="X463" i="6" s="1"/>
  <c r="AA464" i="6"/>
  <c r="X464" i="6" s="1"/>
  <c r="AA465" i="6"/>
  <c r="X465" i="6" s="1"/>
  <c r="AA466" i="6"/>
  <c r="X466" i="6" s="1"/>
  <c r="AA467" i="6"/>
  <c r="X467" i="6" s="1"/>
  <c r="AA468" i="6"/>
  <c r="X468" i="6" s="1"/>
  <c r="AA469" i="6"/>
  <c r="X469" i="6" s="1"/>
  <c r="AA470" i="6"/>
  <c r="X470" i="6" s="1"/>
  <c r="AA471" i="6"/>
  <c r="X471" i="6" s="1"/>
  <c r="AA472" i="6"/>
  <c r="X472" i="6" s="1"/>
  <c r="AA473" i="6"/>
  <c r="X473" i="6" s="1"/>
  <c r="AA474" i="6"/>
  <c r="X474" i="6" s="1"/>
  <c r="AA475" i="6"/>
  <c r="X475" i="6" s="1"/>
  <c r="AA476" i="6"/>
  <c r="X476" i="6" s="1"/>
  <c r="AA477" i="6"/>
  <c r="X477" i="6" s="1"/>
  <c r="AA478" i="6"/>
  <c r="X478" i="6" s="1"/>
  <c r="AA479" i="6"/>
  <c r="X479" i="6" s="1"/>
  <c r="AA480" i="6"/>
  <c r="X480" i="6" s="1"/>
  <c r="AA481" i="6"/>
  <c r="X481" i="6" s="1"/>
  <c r="AA482" i="6"/>
  <c r="X482" i="6" s="1"/>
  <c r="AA483" i="6"/>
  <c r="X483" i="6" s="1"/>
  <c r="AA484" i="6"/>
  <c r="X484" i="6" s="1"/>
  <c r="AA485" i="6"/>
  <c r="X485" i="6" s="1"/>
  <c r="AA486" i="6"/>
  <c r="X486" i="6" s="1"/>
  <c r="AA487" i="6"/>
  <c r="X487" i="6" s="1"/>
  <c r="AA488" i="6"/>
  <c r="X488" i="6" s="1"/>
  <c r="AA489" i="6"/>
  <c r="X489" i="6" s="1"/>
  <c r="AA490" i="6"/>
  <c r="X490" i="6" s="1"/>
  <c r="AA491" i="6"/>
  <c r="X491" i="6" s="1"/>
  <c r="AA492" i="6"/>
  <c r="X492" i="6" s="1"/>
  <c r="AA493" i="6"/>
  <c r="X493" i="6" s="1"/>
  <c r="AA494" i="6"/>
  <c r="X494" i="6" s="1"/>
  <c r="AA495" i="6"/>
  <c r="X495" i="6" s="1"/>
  <c r="AA496" i="6"/>
  <c r="X496" i="6" s="1"/>
  <c r="AA497" i="6"/>
  <c r="X497" i="6" s="1"/>
  <c r="AA498" i="6"/>
  <c r="X498" i="6" s="1"/>
  <c r="AA499" i="6"/>
  <c r="X499" i="6" s="1"/>
  <c r="AA500" i="6"/>
  <c r="X500" i="6" s="1"/>
  <c r="AA501" i="6"/>
  <c r="X501" i="6" s="1"/>
  <c r="X15" i="6"/>
  <c r="X16" i="6"/>
  <c r="X17" i="6"/>
  <c r="AA3" i="6"/>
  <c r="X3" i="6" s="1"/>
  <c r="AA4" i="6"/>
  <c r="X4" i="6" s="1"/>
  <c r="AA5" i="6"/>
  <c r="X5" i="6" s="1"/>
  <c r="AA6" i="6"/>
  <c r="X6" i="6" s="1"/>
  <c r="AA7" i="6"/>
  <c r="X7" i="6" s="1"/>
  <c r="AA8" i="6"/>
  <c r="X8" i="6" s="1"/>
  <c r="AA9" i="6"/>
  <c r="X9" i="6" s="1"/>
  <c r="AA10" i="6"/>
  <c r="X10" i="6" s="1"/>
  <c r="AA11" i="6"/>
  <c r="X11" i="6" s="1"/>
  <c r="AA12" i="6"/>
  <c r="X12" i="6" s="1"/>
  <c r="AA13" i="6"/>
  <c r="X13" i="6" s="1"/>
  <c r="AA14" i="6"/>
  <c r="X14" i="6" s="1"/>
  <c r="AA18" i="6"/>
  <c r="X18" i="6" s="1"/>
  <c r="AA19" i="6"/>
  <c r="X19" i="6" s="1"/>
  <c r="AA20" i="6"/>
  <c r="X20" i="6" s="1"/>
  <c r="AA21" i="6"/>
  <c r="X21" i="6" s="1"/>
  <c r="AA22" i="6"/>
  <c r="X22" i="6" s="1"/>
  <c r="AA23" i="6"/>
  <c r="X23" i="6" s="1"/>
  <c r="AA24" i="6"/>
  <c r="X24" i="6" s="1"/>
  <c r="AA25" i="6"/>
  <c r="X25" i="6" s="1"/>
  <c r="AA26" i="6"/>
  <c r="X26" i="6" s="1"/>
  <c r="AA27" i="6"/>
  <c r="X27" i="6" s="1"/>
  <c r="AA28" i="6"/>
  <c r="X28" i="6" s="1"/>
  <c r="AA29" i="6"/>
  <c r="X29" i="6" s="1"/>
  <c r="AA30" i="6"/>
  <c r="X30" i="6" s="1"/>
  <c r="AA31" i="6"/>
  <c r="X31" i="6" s="1"/>
  <c r="AA32" i="6"/>
  <c r="X32" i="6" s="1"/>
  <c r="AA33" i="6"/>
  <c r="X33" i="6" s="1"/>
  <c r="AA34" i="6"/>
  <c r="X34" i="6" s="1"/>
  <c r="AA35" i="6"/>
  <c r="X35" i="6" s="1"/>
  <c r="AA36" i="6"/>
  <c r="X36" i="6" s="1"/>
  <c r="AA37" i="6"/>
  <c r="X37" i="6" s="1"/>
  <c r="AA38" i="6"/>
  <c r="X38" i="6" s="1"/>
  <c r="AA39" i="6"/>
  <c r="X39" i="6" s="1"/>
  <c r="AA40" i="6"/>
  <c r="X40" i="6" s="1"/>
  <c r="AA41" i="6"/>
  <c r="X41" i="6" s="1"/>
  <c r="AA42" i="6"/>
  <c r="X42" i="6" s="1"/>
  <c r="AA43" i="6"/>
  <c r="X43" i="6" s="1"/>
  <c r="AA44" i="6"/>
  <c r="X44" i="6" s="1"/>
  <c r="AA45" i="6"/>
  <c r="X45" i="6" s="1"/>
  <c r="AA46" i="6"/>
  <c r="X46" i="6" s="1"/>
  <c r="AA47" i="6"/>
  <c r="X47" i="6" s="1"/>
  <c r="AA48" i="6"/>
  <c r="X48" i="6" s="1"/>
  <c r="AA49" i="6"/>
  <c r="X49" i="6" s="1"/>
  <c r="AA50" i="6"/>
  <c r="X50" i="6" s="1"/>
  <c r="AA51" i="6"/>
  <c r="X51" i="6" s="1"/>
  <c r="AA52" i="6"/>
  <c r="X52" i="6" s="1"/>
  <c r="AA53" i="6"/>
  <c r="X53" i="6" s="1"/>
  <c r="AA54" i="6"/>
  <c r="X54" i="6" s="1"/>
  <c r="AA55" i="6"/>
  <c r="X55" i="6" s="1"/>
  <c r="AA56" i="6"/>
  <c r="X56" i="6" s="1"/>
  <c r="AA57" i="6"/>
  <c r="X57" i="6" s="1"/>
  <c r="AA58" i="6"/>
  <c r="X58" i="6" s="1"/>
  <c r="AA59" i="6"/>
  <c r="X59" i="6" s="1"/>
  <c r="AA60" i="6"/>
  <c r="X60" i="6" s="1"/>
  <c r="AA61" i="6"/>
  <c r="X61" i="6" s="1"/>
  <c r="AA62" i="6"/>
  <c r="X62" i="6" s="1"/>
  <c r="AA63" i="6"/>
  <c r="X63" i="6" s="1"/>
  <c r="AA64" i="6"/>
  <c r="X64" i="6" s="1"/>
  <c r="AA65" i="6"/>
  <c r="X65" i="6" s="1"/>
  <c r="AA66" i="6"/>
  <c r="X66" i="6" s="1"/>
  <c r="AA67" i="6"/>
  <c r="X67" i="6" s="1"/>
  <c r="AA68" i="6"/>
  <c r="X68" i="6" s="1"/>
  <c r="AA69" i="6"/>
  <c r="X69" i="6" s="1"/>
  <c r="AA70" i="6"/>
  <c r="X70" i="6" s="1"/>
  <c r="AA71" i="6"/>
  <c r="X71" i="6" s="1"/>
  <c r="AA72" i="6"/>
  <c r="X72" i="6" s="1"/>
  <c r="AA73" i="6"/>
  <c r="X73" i="6" s="1"/>
  <c r="AA74" i="6"/>
  <c r="X74" i="6" s="1"/>
  <c r="AA75" i="6"/>
  <c r="X75" i="6" s="1"/>
  <c r="AA76" i="6"/>
  <c r="X76" i="6" s="1"/>
  <c r="AA77" i="6"/>
  <c r="X77" i="6" s="1"/>
  <c r="AA78" i="6"/>
  <c r="X78" i="6" s="1"/>
  <c r="AA79" i="6"/>
  <c r="X79" i="6" s="1"/>
  <c r="AA80" i="6"/>
  <c r="X80" i="6" s="1"/>
  <c r="AA81" i="6"/>
  <c r="X81" i="6" s="1"/>
  <c r="AA82" i="6"/>
  <c r="X82" i="6" s="1"/>
  <c r="AA83" i="6"/>
  <c r="X83" i="6" s="1"/>
  <c r="AA84" i="6"/>
  <c r="X84" i="6" s="1"/>
  <c r="AA85" i="6"/>
  <c r="X85" i="6" s="1"/>
  <c r="AA86" i="6"/>
  <c r="X86" i="6" s="1"/>
  <c r="AA87" i="6"/>
  <c r="X87" i="6" s="1"/>
  <c r="AA88" i="6"/>
  <c r="X88" i="6" s="1"/>
  <c r="AA89" i="6"/>
  <c r="X89" i="6" s="1"/>
  <c r="AA90" i="6"/>
  <c r="X90" i="6" s="1"/>
  <c r="AA91" i="6"/>
  <c r="X91" i="6" s="1"/>
  <c r="AA92" i="6"/>
  <c r="X92" i="6" s="1"/>
  <c r="AA93" i="6"/>
  <c r="X93" i="6" s="1"/>
  <c r="AA94" i="6"/>
  <c r="X94" i="6" s="1"/>
  <c r="AA95" i="6"/>
  <c r="X95" i="6" s="1"/>
  <c r="AA96" i="6"/>
  <c r="X96" i="6" s="1"/>
  <c r="AA97" i="6"/>
  <c r="X97" i="6" s="1"/>
  <c r="AA98" i="6"/>
  <c r="X98" i="6" s="1"/>
  <c r="AA99" i="6"/>
  <c r="X99" i="6" s="1"/>
  <c r="AA100" i="6"/>
  <c r="X100" i="6" s="1"/>
  <c r="AA101" i="6"/>
  <c r="X101" i="6" s="1"/>
  <c r="AA102" i="6"/>
  <c r="X102" i="6" s="1"/>
  <c r="AA103" i="6"/>
  <c r="X103" i="6" s="1"/>
  <c r="AA104" i="6"/>
  <c r="X104" i="6" s="1"/>
  <c r="AA105" i="6"/>
  <c r="X105" i="6" s="1"/>
  <c r="AA106" i="6"/>
  <c r="X106" i="6" s="1"/>
  <c r="AA107" i="6"/>
  <c r="X107" i="6" s="1"/>
  <c r="AA108" i="6"/>
  <c r="X108" i="6" s="1"/>
  <c r="AA109" i="6"/>
  <c r="X109" i="6" s="1"/>
  <c r="AA110" i="6"/>
  <c r="X110" i="6" s="1"/>
  <c r="AA111" i="6"/>
  <c r="X111" i="6" s="1"/>
  <c r="AA112" i="6"/>
  <c r="X112" i="6" s="1"/>
  <c r="AA113" i="6"/>
  <c r="X113" i="6" s="1"/>
  <c r="AA114" i="6"/>
  <c r="X114" i="6" s="1"/>
  <c r="AA115" i="6"/>
  <c r="X115" i="6" s="1"/>
  <c r="AA116" i="6"/>
  <c r="X116" i="6" s="1"/>
  <c r="AA117" i="6"/>
  <c r="X117" i="6" s="1"/>
  <c r="AA118" i="6"/>
  <c r="X118" i="6" s="1"/>
  <c r="AA119" i="6"/>
  <c r="X119" i="6" s="1"/>
  <c r="AA120" i="6"/>
  <c r="X120" i="6" s="1"/>
  <c r="AA121" i="6"/>
  <c r="X121" i="6" s="1"/>
  <c r="AA122" i="6"/>
  <c r="X122" i="6" s="1"/>
  <c r="AA123" i="6"/>
  <c r="X123" i="6" s="1"/>
  <c r="AA124" i="6"/>
  <c r="X124" i="6" s="1"/>
  <c r="AA125" i="6"/>
  <c r="X125" i="6" s="1"/>
  <c r="AA126" i="6"/>
  <c r="X126" i="6" s="1"/>
  <c r="AA127" i="6"/>
  <c r="X127" i="6" s="1"/>
  <c r="AA128" i="6"/>
  <c r="X128" i="6" s="1"/>
  <c r="AA129" i="6"/>
  <c r="X129" i="6" s="1"/>
  <c r="AA130" i="6"/>
  <c r="X130" i="6" s="1"/>
  <c r="AA131" i="6"/>
  <c r="X131" i="6" s="1"/>
  <c r="AA132" i="6"/>
  <c r="X132" i="6" s="1"/>
  <c r="AA133" i="6"/>
  <c r="X133" i="6" s="1"/>
  <c r="AA134" i="6"/>
  <c r="X134" i="6" s="1"/>
  <c r="AA135" i="6"/>
  <c r="X135" i="6" s="1"/>
  <c r="AA136" i="6"/>
  <c r="X136" i="6" s="1"/>
  <c r="AA137" i="6"/>
  <c r="X137" i="6" s="1"/>
  <c r="AA138" i="6"/>
  <c r="X138" i="6" s="1"/>
  <c r="AA139" i="6"/>
  <c r="X139" i="6" s="1"/>
  <c r="AA140" i="6"/>
  <c r="X140" i="6" s="1"/>
  <c r="AA141" i="6"/>
  <c r="X141" i="6" s="1"/>
  <c r="AA142" i="6"/>
  <c r="X142" i="6" s="1"/>
  <c r="AA143" i="6"/>
  <c r="X143" i="6" s="1"/>
  <c r="AA144" i="6"/>
  <c r="X144" i="6" s="1"/>
  <c r="AA145" i="6"/>
  <c r="X145" i="6" s="1"/>
  <c r="AA146" i="6"/>
  <c r="X146" i="6" s="1"/>
  <c r="AA147" i="6"/>
  <c r="X147" i="6" s="1"/>
  <c r="AA148" i="6"/>
  <c r="X148" i="6" s="1"/>
  <c r="AA149" i="6"/>
  <c r="X149" i="6" s="1"/>
  <c r="AA150" i="6"/>
  <c r="X150" i="6" s="1"/>
  <c r="AA151" i="6"/>
  <c r="X151" i="6" s="1"/>
  <c r="AA152" i="6"/>
  <c r="X152" i="6" s="1"/>
  <c r="AA153" i="6"/>
  <c r="X153" i="6" s="1"/>
  <c r="AA154" i="6"/>
  <c r="X154" i="6" s="1"/>
  <c r="AA155" i="6"/>
  <c r="X155" i="6" s="1"/>
  <c r="AA156" i="6"/>
  <c r="X156" i="6" s="1"/>
  <c r="AA157" i="6"/>
  <c r="X157" i="6" s="1"/>
  <c r="AA158" i="6"/>
  <c r="X158" i="6" s="1"/>
  <c r="AA159" i="6"/>
  <c r="X159" i="6" s="1"/>
  <c r="AA160" i="6"/>
  <c r="X160" i="6" s="1"/>
  <c r="AA161" i="6"/>
  <c r="X161" i="6" s="1"/>
  <c r="AA162" i="6"/>
  <c r="X162" i="6" s="1"/>
  <c r="AA163" i="6"/>
  <c r="X163" i="6" s="1"/>
  <c r="AA164" i="6"/>
  <c r="X164" i="6" s="1"/>
  <c r="AA165" i="6"/>
  <c r="X165" i="6" s="1"/>
  <c r="AA166" i="6"/>
  <c r="X166" i="6" s="1"/>
  <c r="AA167" i="6"/>
  <c r="X167" i="6" s="1"/>
  <c r="AA168" i="6"/>
  <c r="X168" i="6" s="1"/>
  <c r="AA169" i="6"/>
  <c r="X169" i="6" s="1"/>
  <c r="AA170" i="6"/>
  <c r="X170" i="6" s="1"/>
  <c r="AA171" i="6"/>
  <c r="X171" i="6" s="1"/>
  <c r="AA172" i="6"/>
  <c r="X172" i="6" s="1"/>
  <c r="AA173" i="6"/>
  <c r="X173" i="6" s="1"/>
  <c r="AA174" i="6"/>
  <c r="X174" i="6" s="1"/>
  <c r="AA175" i="6"/>
  <c r="X175" i="6" s="1"/>
  <c r="AA176" i="6"/>
  <c r="X176" i="6" s="1"/>
  <c r="AA177" i="6"/>
  <c r="X177" i="6" s="1"/>
  <c r="AA178" i="6"/>
  <c r="X178" i="6" s="1"/>
  <c r="AA179" i="6"/>
  <c r="X179" i="6" s="1"/>
  <c r="AA180" i="6"/>
  <c r="X180" i="6" s="1"/>
  <c r="AA181" i="6"/>
  <c r="X181" i="6" s="1"/>
  <c r="AA182" i="6"/>
  <c r="X182" i="6" s="1"/>
  <c r="AA183" i="6"/>
  <c r="X183" i="6" s="1"/>
  <c r="AA184" i="6"/>
  <c r="X184" i="6" s="1"/>
  <c r="AA185" i="6"/>
  <c r="X185" i="6" s="1"/>
  <c r="AA186" i="6"/>
  <c r="X186" i="6" s="1"/>
  <c r="AA187" i="6"/>
  <c r="X187" i="6" s="1"/>
  <c r="AA188" i="6"/>
  <c r="X188" i="6" s="1"/>
  <c r="AA189" i="6"/>
  <c r="X189" i="6" s="1"/>
  <c r="AA190" i="6"/>
  <c r="X190" i="6" s="1"/>
  <c r="AA191" i="6"/>
  <c r="X191" i="6" s="1"/>
  <c r="AA192" i="6"/>
  <c r="X192" i="6" s="1"/>
  <c r="AA193" i="6"/>
  <c r="X193" i="6" s="1"/>
  <c r="AA194" i="6"/>
  <c r="X194" i="6" s="1"/>
  <c r="AA195" i="6"/>
  <c r="X195" i="6" s="1"/>
  <c r="AA196" i="6"/>
  <c r="X196" i="6" s="1"/>
  <c r="AA197" i="6"/>
  <c r="X197" i="6" s="1"/>
  <c r="AA198" i="6"/>
  <c r="X198" i="6" s="1"/>
  <c r="AA199" i="6"/>
  <c r="X199" i="6" s="1"/>
  <c r="AA200" i="6"/>
  <c r="X200" i="6" s="1"/>
  <c r="AA201" i="6"/>
  <c r="X201" i="6" s="1"/>
  <c r="AA202" i="6"/>
  <c r="X202" i="6" s="1"/>
  <c r="AA203" i="6"/>
  <c r="X203" i="6" s="1"/>
  <c r="AA204" i="6"/>
  <c r="X204" i="6" s="1"/>
  <c r="AA205" i="6"/>
  <c r="X205" i="6" s="1"/>
  <c r="AA206" i="6"/>
  <c r="X206" i="6" s="1"/>
  <c r="AA207" i="6"/>
  <c r="X207" i="6" s="1"/>
  <c r="AA208" i="6"/>
  <c r="X208" i="6" s="1"/>
  <c r="AA209" i="6"/>
  <c r="X209" i="6" s="1"/>
  <c r="AA210" i="6"/>
  <c r="X210" i="6" s="1"/>
  <c r="AA211" i="6"/>
  <c r="X211" i="6" s="1"/>
  <c r="AA212" i="6"/>
  <c r="X212" i="6" s="1"/>
  <c r="AA213" i="6"/>
  <c r="X213" i="6" s="1"/>
  <c r="AA214" i="6"/>
  <c r="X214" i="6" s="1"/>
  <c r="AA215" i="6"/>
  <c r="X215" i="6" s="1"/>
  <c r="AA216" i="6"/>
  <c r="X216" i="6" s="1"/>
  <c r="AA217" i="6"/>
  <c r="X217" i="6" s="1"/>
  <c r="AA218" i="6"/>
  <c r="X218" i="6" s="1"/>
  <c r="AA219" i="6"/>
  <c r="X219" i="6" s="1"/>
  <c r="AA220" i="6"/>
  <c r="X220" i="6" s="1"/>
  <c r="AA221" i="6"/>
  <c r="X221" i="6" s="1"/>
  <c r="AA222" i="6"/>
  <c r="X222" i="6" s="1"/>
  <c r="AA223" i="6"/>
  <c r="X223" i="6" s="1"/>
  <c r="AA224" i="6"/>
  <c r="X224" i="6" s="1"/>
  <c r="AA225" i="6"/>
  <c r="X225" i="6" s="1"/>
  <c r="AA226" i="6"/>
  <c r="X226" i="6" s="1"/>
  <c r="AA227" i="6"/>
  <c r="X227" i="6" s="1"/>
  <c r="AA228" i="6"/>
  <c r="X228" i="6" s="1"/>
  <c r="AA229" i="6"/>
  <c r="X229" i="6" s="1"/>
  <c r="AA230" i="6"/>
  <c r="X230" i="6" s="1"/>
  <c r="AA231" i="6"/>
  <c r="X231" i="6" s="1"/>
  <c r="AA232" i="6"/>
  <c r="X232" i="6" s="1"/>
  <c r="AA233" i="6"/>
  <c r="X233" i="6" s="1"/>
  <c r="AA234" i="6"/>
  <c r="X234" i="6" s="1"/>
  <c r="AA235" i="6"/>
  <c r="X235" i="6" s="1"/>
  <c r="AA236" i="6"/>
  <c r="X236" i="6" s="1"/>
  <c r="AA237" i="6"/>
  <c r="X237" i="6" s="1"/>
  <c r="AA238" i="6"/>
  <c r="X238" i="6" s="1"/>
  <c r="AA239" i="6"/>
  <c r="X239" i="6" s="1"/>
  <c r="AA240" i="6"/>
  <c r="X240" i="6" s="1"/>
  <c r="AA241" i="6"/>
  <c r="X241" i="6" s="1"/>
  <c r="AA242" i="6"/>
  <c r="X242" i="6" s="1"/>
  <c r="AA243" i="6"/>
  <c r="X243" i="6" s="1"/>
  <c r="AA244" i="6"/>
  <c r="X244" i="6" s="1"/>
  <c r="AA245" i="6"/>
  <c r="X245" i="6" s="1"/>
  <c r="AA246" i="6"/>
  <c r="X246" i="6" s="1"/>
  <c r="AA247" i="6"/>
  <c r="X247" i="6" s="1"/>
  <c r="AA248" i="6"/>
  <c r="X248" i="6" s="1"/>
  <c r="AA249" i="6"/>
  <c r="X249" i="6" s="1"/>
  <c r="AA250" i="6"/>
  <c r="X250" i="6" s="1"/>
  <c r="AA251" i="6"/>
  <c r="X251" i="6" s="1"/>
  <c r="AA252" i="6"/>
  <c r="X252" i="6" s="1"/>
  <c r="AA253" i="6"/>
  <c r="X253" i="6" s="1"/>
  <c r="AA254" i="6"/>
  <c r="X254" i="6" s="1"/>
  <c r="AA255" i="6"/>
  <c r="X255" i="6" s="1"/>
  <c r="AA256" i="6"/>
  <c r="X256" i="6" s="1"/>
  <c r="AA257" i="6"/>
  <c r="X257" i="6" s="1"/>
  <c r="AA258" i="6"/>
  <c r="X258" i="6" s="1"/>
  <c r="AA259" i="6"/>
  <c r="X259" i="6" s="1"/>
  <c r="AA355" i="6"/>
  <c r="X355" i="6" s="1"/>
  <c r="AA356" i="6"/>
  <c r="X356" i="6" s="1"/>
  <c r="AA357" i="6"/>
  <c r="X357" i="6" s="1"/>
  <c r="AA358" i="6"/>
  <c r="X358" i="6" s="1"/>
  <c r="AA359" i="6"/>
  <c r="X359" i="6" s="1"/>
  <c r="AA360" i="6"/>
  <c r="X360" i="6" s="1"/>
  <c r="AA361" i="6"/>
  <c r="X361" i="6" s="1"/>
  <c r="AA362" i="6"/>
  <c r="X362" i="6" s="1"/>
  <c r="AA363" i="6"/>
  <c r="X363" i="6" s="1"/>
  <c r="AA364" i="6"/>
  <c r="X364" i="6" s="1"/>
  <c r="AA365" i="6"/>
  <c r="X365" i="6" s="1"/>
  <c r="AA366" i="6"/>
  <c r="X366" i="6" s="1"/>
  <c r="AA367" i="6"/>
  <c r="X367" i="6" s="1"/>
  <c r="AA368" i="6"/>
  <c r="X368" i="6" s="1"/>
  <c r="AA369" i="6"/>
  <c r="X369" i="6" s="1"/>
  <c r="AA370" i="6"/>
  <c r="X370" i="6" s="1"/>
  <c r="AA371" i="6"/>
  <c r="X371" i="6" s="1"/>
  <c r="AA372" i="6"/>
  <c r="X372" i="6" s="1"/>
  <c r="AA373" i="6"/>
  <c r="X373" i="6" s="1"/>
  <c r="AA374" i="6"/>
  <c r="X374" i="6" s="1"/>
  <c r="AA375" i="6"/>
  <c r="X375" i="6" s="1"/>
  <c r="AA376" i="6"/>
  <c r="X376" i="6" s="1"/>
  <c r="AA377" i="6"/>
  <c r="X377" i="6" s="1"/>
  <c r="AA378" i="6"/>
  <c r="X378" i="6" s="1"/>
  <c r="AA379" i="6"/>
  <c r="X379" i="6" s="1"/>
  <c r="AA380" i="6"/>
  <c r="X380" i="6" s="1"/>
  <c r="AA381" i="6"/>
  <c r="X381" i="6" s="1"/>
  <c r="AA382" i="6"/>
  <c r="X382" i="6" s="1"/>
  <c r="AA383" i="6"/>
  <c r="X383" i="6" s="1"/>
  <c r="AA384" i="6"/>
  <c r="X384" i="6" s="1"/>
  <c r="AA385" i="6"/>
  <c r="X385" i="6" s="1"/>
  <c r="AA386" i="6"/>
  <c r="X386" i="6" s="1"/>
  <c r="AA387" i="6"/>
  <c r="X387" i="6" s="1"/>
  <c r="AA388" i="6"/>
  <c r="X388" i="6" s="1"/>
  <c r="AA389" i="6"/>
  <c r="X389" i="6" s="1"/>
  <c r="AA390" i="6"/>
  <c r="X390" i="6" s="1"/>
  <c r="AA391" i="6"/>
  <c r="X391" i="6" s="1"/>
  <c r="AA392" i="6"/>
  <c r="X392" i="6" s="1"/>
  <c r="AA393" i="6"/>
  <c r="X393" i="6" s="1"/>
  <c r="AA394" i="6"/>
  <c r="X394" i="6" s="1"/>
  <c r="AA395" i="6"/>
  <c r="X395" i="6" s="1"/>
  <c r="AA396" i="6"/>
  <c r="X396" i="6" s="1"/>
  <c r="AA397" i="6"/>
  <c r="X397" i="6" s="1"/>
  <c r="AA398" i="6"/>
  <c r="X398" i="6" s="1"/>
  <c r="AA399" i="6"/>
  <c r="X399" i="6" s="1"/>
  <c r="AA400" i="6"/>
  <c r="X400" i="6" s="1"/>
  <c r="AA401" i="6"/>
  <c r="X401" i="6" s="1"/>
  <c r="AA402" i="6"/>
  <c r="X402" i="6" s="1"/>
  <c r="AA403" i="6"/>
  <c r="X403" i="6" s="1"/>
  <c r="AA404" i="6"/>
  <c r="X404" i="6" s="1"/>
  <c r="AA405" i="6"/>
  <c r="X405" i="6" s="1"/>
  <c r="Z2" i="6"/>
  <c r="AA2" i="6" l="1"/>
  <c r="G7" i="8" l="1"/>
  <c r="G11" i="8"/>
  <c r="X2" i="6"/>
  <c r="G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7511F3E-5A6E-49FD-854C-52BB37D5E57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15246C0-7FCF-4F5A-8406-D709B9537029}" name="WorksheetConnection_Renew_Data!$A$1:$AA$501" type="102" refreshedVersion="8" minRefreshableVersion="5">
    <extLst>
      <ext xmlns:x15="http://schemas.microsoft.com/office/spreadsheetml/2010/11/main" uri="{DE250136-89BD-433C-8126-D09CA5730AF9}">
        <x15:connection id="Range" autoDelete="1">
          <x15:rangePr sourceName="_xlcn.WorksheetConnection_Renew_DataA1AA5011"/>
        </x15:connection>
      </ext>
    </extLst>
  </connection>
</connections>
</file>

<file path=xl/sharedStrings.xml><?xml version="1.0" encoding="utf-8"?>
<sst xmlns="http://schemas.openxmlformats.org/spreadsheetml/2006/main" count="6270" uniqueCount="2099">
  <si>
    <t>Customer_ID</t>
  </si>
  <si>
    <t>First_Name</t>
  </si>
  <si>
    <t>Last_Name</t>
  </si>
  <si>
    <t>Age</t>
  </si>
  <si>
    <t>Gender</t>
  </si>
  <si>
    <t>City</t>
  </si>
  <si>
    <t>Email</t>
  </si>
  <si>
    <t>Address</t>
  </si>
  <si>
    <t>Order_ID</t>
  </si>
  <si>
    <t>Order_Date</t>
  </si>
  <si>
    <t>Order_Time</t>
  </si>
  <si>
    <t>Product_ID</t>
  </si>
  <si>
    <t>Price</t>
  </si>
  <si>
    <t>Quantity</t>
  </si>
  <si>
    <t>Coupon_Code</t>
  </si>
  <si>
    <t>Delivery_Charge</t>
  </si>
  <si>
    <t>Delivery_Date</t>
  </si>
  <si>
    <t>Delivery_Time</t>
  </si>
  <si>
    <t>CID186</t>
  </si>
  <si>
    <t>CID150</t>
  </si>
  <si>
    <t>CID117</t>
  </si>
  <si>
    <t>CID116</t>
  </si>
  <si>
    <t>CID149</t>
  </si>
  <si>
    <t>CID159</t>
  </si>
  <si>
    <t>CID115</t>
  </si>
  <si>
    <t>CID198</t>
  </si>
  <si>
    <t>CID152</t>
  </si>
  <si>
    <t>CID130</t>
  </si>
  <si>
    <t>CID101</t>
  </si>
  <si>
    <t>CID105</t>
  </si>
  <si>
    <t>CID172</t>
  </si>
  <si>
    <t>CID178</t>
  </si>
  <si>
    <t>CID176</t>
  </si>
  <si>
    <t>CID148</t>
  </si>
  <si>
    <t>CID137</t>
  </si>
  <si>
    <t>CID147</t>
  </si>
  <si>
    <t>CID128</t>
  </si>
  <si>
    <t>CID168</t>
  </si>
  <si>
    <t>CID179</t>
  </si>
  <si>
    <t>CID163</t>
  </si>
  <si>
    <t>CID182</t>
  </si>
  <si>
    <t>CID158</t>
  </si>
  <si>
    <t>CID103</t>
  </si>
  <si>
    <t>CID102</t>
  </si>
  <si>
    <t>CID193</t>
  </si>
  <si>
    <t>CID166</t>
  </si>
  <si>
    <t>CID191</t>
  </si>
  <si>
    <t>CID109</t>
  </si>
  <si>
    <t>CID161</t>
  </si>
  <si>
    <t>CID190</t>
  </si>
  <si>
    <t>CID120</t>
  </si>
  <si>
    <t>CID155</t>
  </si>
  <si>
    <t>CID121</t>
  </si>
  <si>
    <t>CID133</t>
  </si>
  <si>
    <t>CID169</t>
  </si>
  <si>
    <t>CID132</t>
  </si>
  <si>
    <t>CID180</t>
  </si>
  <si>
    <t>CID184</t>
  </si>
  <si>
    <t>CID187</t>
  </si>
  <si>
    <t>CID181</t>
  </si>
  <si>
    <t>CID135</t>
  </si>
  <si>
    <t>CID165</t>
  </si>
  <si>
    <t>CID126</t>
  </si>
  <si>
    <t>CID114</t>
  </si>
  <si>
    <t>CID129</t>
  </si>
  <si>
    <t>CID199</t>
  </si>
  <si>
    <t>CID134</t>
  </si>
  <si>
    <t>CID136</t>
  </si>
  <si>
    <t>CID153</t>
  </si>
  <si>
    <t>CID100</t>
  </si>
  <si>
    <t>CID195</t>
  </si>
  <si>
    <t>CID175</t>
  </si>
  <si>
    <t>CID164</t>
  </si>
  <si>
    <t>CID192</t>
  </si>
  <si>
    <t>CID174</t>
  </si>
  <si>
    <t>CID112</t>
  </si>
  <si>
    <t>CID145</t>
  </si>
  <si>
    <t>CID144</t>
  </si>
  <si>
    <t>CID125</t>
  </si>
  <si>
    <t>CID139</t>
  </si>
  <si>
    <t>CID118</t>
  </si>
  <si>
    <t>CID140</t>
  </si>
  <si>
    <t>CID123</t>
  </si>
  <si>
    <t>CID183</t>
  </si>
  <si>
    <t>CID143</t>
  </si>
  <si>
    <t>CID111</t>
  </si>
  <si>
    <t>CID156</t>
  </si>
  <si>
    <t>CID170</t>
  </si>
  <si>
    <t>CID107</t>
  </si>
  <si>
    <t>CID185</t>
  </si>
  <si>
    <t>CID162</t>
  </si>
  <si>
    <t>CID194</t>
  </si>
  <si>
    <t>CID188</t>
  </si>
  <si>
    <t>CID167</t>
  </si>
  <si>
    <t>CID124</t>
  </si>
  <si>
    <t>CID160</t>
  </si>
  <si>
    <t>CID171</t>
  </si>
  <si>
    <t>CID173</t>
  </si>
  <si>
    <t>CID110</t>
  </si>
  <si>
    <t>CID119</t>
  </si>
  <si>
    <t>CID108</t>
  </si>
  <si>
    <t>CID196</t>
  </si>
  <si>
    <t>CID127</t>
  </si>
  <si>
    <t>CID104</t>
  </si>
  <si>
    <t>CID189</t>
  </si>
  <si>
    <t>CID138</t>
  </si>
  <si>
    <t>CID142</t>
  </si>
  <si>
    <t>CID154</t>
  </si>
  <si>
    <t>CID141</t>
  </si>
  <si>
    <t>CID122</t>
  </si>
  <si>
    <t>CID113</t>
  </si>
  <si>
    <t>CID131</t>
  </si>
  <si>
    <t>CID157</t>
  </si>
  <si>
    <t>CID151</t>
  </si>
  <si>
    <t>CID177</t>
  </si>
  <si>
    <t>CID106</t>
  </si>
  <si>
    <t>CID197</t>
  </si>
  <si>
    <t>CID146</t>
  </si>
  <si>
    <t>Anne</t>
  </si>
  <si>
    <t>Anthony</t>
  </si>
  <si>
    <t>Hannah</t>
  </si>
  <si>
    <t>John</t>
  </si>
  <si>
    <t>Angela</t>
  </si>
  <si>
    <t>Christine</t>
  </si>
  <si>
    <t>Karl</t>
  </si>
  <si>
    <t>David</t>
  </si>
  <si>
    <t>Marcus</t>
  </si>
  <si>
    <t>Debra</t>
  </si>
  <si>
    <t>Bobby</t>
  </si>
  <si>
    <t>Joseph</t>
  </si>
  <si>
    <t>Kara</t>
  </si>
  <si>
    <t>Amy</t>
  </si>
  <si>
    <t>Joshua</t>
  </si>
  <si>
    <t>Erin</t>
  </si>
  <si>
    <t>Gina</t>
  </si>
  <si>
    <t>Mallory</t>
  </si>
  <si>
    <t>Traci</t>
  </si>
  <si>
    <t>Deborah</t>
  </si>
  <si>
    <t>Christian</t>
  </si>
  <si>
    <t>Mark</t>
  </si>
  <si>
    <t>Jason</t>
  </si>
  <si>
    <t>Jessica</t>
  </si>
  <si>
    <t>Ashley</t>
  </si>
  <si>
    <t>Taylor</t>
  </si>
  <si>
    <t>Lauren</t>
  </si>
  <si>
    <t>Rachael</t>
  </si>
  <si>
    <t>Heather</t>
  </si>
  <si>
    <t>Valerie</t>
  </si>
  <si>
    <t>Jenny</t>
  </si>
  <si>
    <t>Courtney</t>
  </si>
  <si>
    <t>Julie</t>
  </si>
  <si>
    <t>Donna</t>
  </si>
  <si>
    <t>Robert</t>
  </si>
  <si>
    <t>Timothy</t>
  </si>
  <si>
    <t>Thomas</t>
  </si>
  <si>
    <t>Aaron</t>
  </si>
  <si>
    <t>Alexandra</t>
  </si>
  <si>
    <t>Amanda</t>
  </si>
  <si>
    <t>Mary</t>
  </si>
  <si>
    <t>Rebecca</t>
  </si>
  <si>
    <t>Lori</t>
  </si>
  <si>
    <t>Brittany</t>
  </si>
  <si>
    <t>Mitchell</t>
  </si>
  <si>
    <t>Sharon</t>
  </si>
  <si>
    <t>Sarah</t>
  </si>
  <si>
    <t>Katherine</t>
  </si>
  <si>
    <t>Brandon</t>
  </si>
  <si>
    <t>Jodi</t>
  </si>
  <si>
    <t>Lindsey</t>
  </si>
  <si>
    <t>William</t>
  </si>
  <si>
    <t>Kelli</t>
  </si>
  <si>
    <t>Beth</t>
  </si>
  <si>
    <t>Christy</t>
  </si>
  <si>
    <t>Troy</t>
  </si>
  <si>
    <t>Kim</t>
  </si>
  <si>
    <t>Brian</t>
  </si>
  <si>
    <t>Gregory</t>
  </si>
  <si>
    <t>Bruce</t>
  </si>
  <si>
    <t>Lisa</t>
  </si>
  <si>
    <t>Melissa</t>
  </si>
  <si>
    <t>Barbara</t>
  </si>
  <si>
    <t>Kristina</t>
  </si>
  <si>
    <t>Diana</t>
  </si>
  <si>
    <t>Edward</t>
  </si>
  <si>
    <t>James</t>
  </si>
  <si>
    <t>Leslie</t>
  </si>
  <si>
    <t>Susan</t>
  </si>
  <si>
    <t>Katie</t>
  </si>
  <si>
    <t>Teresa</t>
  </si>
  <si>
    <t>Regina</t>
  </si>
  <si>
    <t>Natasha</t>
  </si>
  <si>
    <t>Gary</t>
  </si>
  <si>
    <t>Mike</t>
  </si>
  <si>
    <t>Megan</t>
  </si>
  <si>
    <t>Jared</t>
  </si>
  <si>
    <t>Brendan</t>
  </si>
  <si>
    <t>Veronica</t>
  </si>
  <si>
    <t>Rachel</t>
  </si>
  <si>
    <t>Scott</t>
  </si>
  <si>
    <t>Janice</t>
  </si>
  <si>
    <t>Kelly</t>
  </si>
  <si>
    <t>Oconnell</t>
  </si>
  <si>
    <t>Gutierrez</t>
  </si>
  <si>
    <t>Ramirez</t>
  </si>
  <si>
    <t>Horne</t>
  </si>
  <si>
    <t>West</t>
  </si>
  <si>
    <t>Gallagher</t>
  </si>
  <si>
    <t>Delacruz</t>
  </si>
  <si>
    <t>Valenzuela</t>
  </si>
  <si>
    <t>Rodriguez</t>
  </si>
  <si>
    <t>Forbes</t>
  </si>
  <si>
    <t>Stewart</t>
  </si>
  <si>
    <t>Brennan</t>
  </si>
  <si>
    <t>Reid</t>
  </si>
  <si>
    <t>Campbell</t>
  </si>
  <si>
    <t>Miller</t>
  </si>
  <si>
    <t>Moreno</t>
  </si>
  <si>
    <t>Jones</t>
  </si>
  <si>
    <t>Bates</t>
  </si>
  <si>
    <t>Clayton</t>
  </si>
  <si>
    <t>Henderson</t>
  </si>
  <si>
    <t>Herrera</t>
  </si>
  <si>
    <t>Evans</t>
  </si>
  <si>
    <t>Nguyen</t>
  </si>
  <si>
    <t>Ruiz</t>
  </si>
  <si>
    <t>Rose</t>
  </si>
  <si>
    <t>Davis</t>
  </si>
  <si>
    <t>Long</t>
  </si>
  <si>
    <t>Robinson</t>
  </si>
  <si>
    <t>Schneider</t>
  </si>
  <si>
    <t>Carr</t>
  </si>
  <si>
    <t>Estrada</t>
  </si>
  <si>
    <t>Parker</t>
  </si>
  <si>
    <t>Meyer</t>
  </si>
  <si>
    <t>Oneill</t>
  </si>
  <si>
    <t>Castillo</t>
  </si>
  <si>
    <t>Hicks</t>
  </si>
  <si>
    <t>Andersen</t>
  </si>
  <si>
    <t>Thompson</t>
  </si>
  <si>
    <t>Lopez</t>
  </si>
  <si>
    <t>Smith</t>
  </si>
  <si>
    <t>Howard</t>
  </si>
  <si>
    <t>Knight</t>
  </si>
  <si>
    <t>Rogers</t>
  </si>
  <si>
    <t>Crane</t>
  </si>
  <si>
    <t>Figueroa</t>
  </si>
  <si>
    <t>Cook</t>
  </si>
  <si>
    <t>Hayes</t>
  </si>
  <si>
    <t>Butler</t>
  </si>
  <si>
    <t>Weber</t>
  </si>
  <si>
    <t>Lane</t>
  </si>
  <si>
    <t>Cruz</t>
  </si>
  <si>
    <t>Whitney</t>
  </si>
  <si>
    <t>Byrd</t>
  </si>
  <si>
    <t>Romero</t>
  </si>
  <si>
    <t>Mann</t>
  </si>
  <si>
    <t>Gaines</t>
  </si>
  <si>
    <t>Ellis</t>
  </si>
  <si>
    <t>Mason</t>
  </si>
  <si>
    <t>Chang</t>
  </si>
  <si>
    <t>Gomez</t>
  </si>
  <si>
    <t>Blevins</t>
  </si>
  <si>
    <t>Kennedy</t>
  </si>
  <si>
    <t>Lee</t>
  </si>
  <si>
    <t>Allen</t>
  </si>
  <si>
    <t>Levy</t>
  </si>
  <si>
    <t>Summers</t>
  </si>
  <si>
    <t>Fuller</t>
  </si>
  <si>
    <t>Haynes</t>
  </si>
  <si>
    <t>French</t>
  </si>
  <si>
    <t>Black</t>
  </si>
  <si>
    <t>Brown</t>
  </si>
  <si>
    <t>Montgomery</t>
  </si>
  <si>
    <t>Griffin</t>
  </si>
  <si>
    <t>Harvey</t>
  </si>
  <si>
    <t>Hawkins</t>
  </si>
  <si>
    <t>Michael</t>
  </si>
  <si>
    <t>Huff</t>
  </si>
  <si>
    <t>Aguilar</t>
  </si>
  <si>
    <t>Carter</t>
  </si>
  <si>
    <t>Owens</t>
  </si>
  <si>
    <t>Casey</t>
  </si>
  <si>
    <t>Hunt</t>
  </si>
  <si>
    <t>Horn</t>
  </si>
  <si>
    <t>Benson</t>
  </si>
  <si>
    <t>Richmond</t>
  </si>
  <si>
    <t>Jacobs</t>
  </si>
  <si>
    <t>Gordon</t>
  </si>
  <si>
    <t>Male</t>
  </si>
  <si>
    <t>Female</t>
  </si>
  <si>
    <t>Other</t>
  </si>
  <si>
    <t>Phoenix</t>
  </si>
  <si>
    <t>Houston</t>
  </si>
  <si>
    <t>Chicago</t>
  </si>
  <si>
    <t>Miami</t>
  </si>
  <si>
    <t>New York</t>
  </si>
  <si>
    <t>Los Angeles</t>
  </si>
  <si>
    <t>San Francisco</t>
  </si>
  <si>
    <t>Dallas</t>
  </si>
  <si>
    <t>anne.oconnell@outlook.com</t>
  </si>
  <si>
    <t>anthony.thomas@rediffmail.com</t>
  </si>
  <si>
    <t>hannah.gutierrez@yahoo.com</t>
  </si>
  <si>
    <t>john.ramirez@outlook.com</t>
  </si>
  <si>
    <t>angela.horne@outlook.com</t>
  </si>
  <si>
    <t>christine.west@gmail.com</t>
  </si>
  <si>
    <t>karl.gallagher@rediffmail.com</t>
  </si>
  <si>
    <t>david.delacruz@rediffmail.com</t>
  </si>
  <si>
    <t>marcus.valenzuela@yahoo.com</t>
  </si>
  <si>
    <t>debra.rodriguez@rediffmail.com</t>
  </si>
  <si>
    <t>bobby.forbes@gmail.com</t>
  </si>
  <si>
    <t>joseph.stewart@yahoo.com</t>
  </si>
  <si>
    <t>kara.brennan@outlook.com</t>
  </si>
  <si>
    <t>amy.reid@rediffmail.com</t>
  </si>
  <si>
    <t>joshua.campbell@gmail.com</t>
  </si>
  <si>
    <t>erin.miller@gmail.com</t>
  </si>
  <si>
    <t>gina.moreno@rediffmail.com</t>
  </si>
  <si>
    <t>mallory.mitchell@yahoo.com</t>
  </si>
  <si>
    <t>traci.jones@yahoo.com</t>
  </si>
  <si>
    <t>deborah.bates@yahoo.com</t>
  </si>
  <si>
    <t>christian.clayton@yahoo.com</t>
  </si>
  <si>
    <t>mark.henderson@yahoo.com</t>
  </si>
  <si>
    <t>john.herrera@outlook.com</t>
  </si>
  <si>
    <t>angela.evans@outlook.com</t>
  </si>
  <si>
    <t>jason.nguyen@yahoo.com</t>
  </si>
  <si>
    <t>jessica.ruiz@rediffmail.com</t>
  </si>
  <si>
    <t>ashley.rose@gmail.com</t>
  </si>
  <si>
    <t>taylor.davis@yahoo.com</t>
  </si>
  <si>
    <t>lauren.long@gmail.com</t>
  </si>
  <si>
    <t>rachael.robinson@rediffmail.com</t>
  </si>
  <si>
    <t>heather.schneider@outlook.com</t>
  </si>
  <si>
    <t>valerie.carr@rediffmail.com</t>
  </si>
  <si>
    <t>jenny.estrada@yahoo.com</t>
  </si>
  <si>
    <t>courtney.parker@yahoo.com</t>
  </si>
  <si>
    <t>julie.meyer@yahoo.com</t>
  </si>
  <si>
    <t>donna.oneill@yahoo.com</t>
  </si>
  <si>
    <t>robert.castillo@gmail.com</t>
  </si>
  <si>
    <t>timothy.hicks@gmail.com</t>
  </si>
  <si>
    <t>thomas.andersen@yahoo.com</t>
  </si>
  <si>
    <t>aaron.thompson@gmail.com</t>
  </si>
  <si>
    <t>jason.lopez@outlook.com</t>
  </si>
  <si>
    <t>alexandra.smith@rediffmail.com</t>
  </si>
  <si>
    <t>amanda.howard@outlook.com</t>
  </si>
  <si>
    <t>mary.knight@yahoo.com</t>
  </si>
  <si>
    <t>marcus.rogers@outlook.com</t>
  </si>
  <si>
    <t>lauren.crane@yahoo.com</t>
  </si>
  <si>
    <t>rebecca.figueroa@outlook.com</t>
  </si>
  <si>
    <t>lori.cook@rediffmail.com</t>
  </si>
  <si>
    <t>debra.hayes@yahoo.com</t>
  </si>
  <si>
    <t>brittany.stewart@gmail.com</t>
  </si>
  <si>
    <t>mitchell.parker@yahoo.com</t>
  </si>
  <si>
    <t>sharon.thompson@yahoo.com</t>
  </si>
  <si>
    <t>sarah.butler@rediffmail.com</t>
  </si>
  <si>
    <t>katherine.weber@outlook.com</t>
  </si>
  <si>
    <t>lauren.lane@gmail.com</t>
  </si>
  <si>
    <t>brandon.cruz@gmail.com</t>
  </si>
  <si>
    <t>jodi.whitney@yahoo.com</t>
  </si>
  <si>
    <t>lindsey.byrd@rediffmail.com</t>
  </si>
  <si>
    <t>ashley.romero@yahoo.com</t>
  </si>
  <si>
    <t>william.mann@yahoo.com</t>
  </si>
  <si>
    <t>kelli.smith@rediffmail.com</t>
  </si>
  <si>
    <t>joseph.gaines@outlook.com</t>
  </si>
  <si>
    <t>amy.ellis@gmail.com</t>
  </si>
  <si>
    <t>beth.mason@outlook.com</t>
  </si>
  <si>
    <t>christy.chang@outlook.com</t>
  </si>
  <si>
    <t>troy.gomez@outlook.com</t>
  </si>
  <si>
    <t>kim.blevins@outlook.com</t>
  </si>
  <si>
    <t>brian.kennedy@outlook.com</t>
  </si>
  <si>
    <t>gregory.lee@rediffmail.com</t>
  </si>
  <si>
    <t>bruce.allen@rediffmail.com</t>
  </si>
  <si>
    <t>lisa.miller@gmail.com</t>
  </si>
  <si>
    <t>melissa.levy@rediffmail.com</t>
  </si>
  <si>
    <t>mark.summers@outlook.com</t>
  </si>
  <si>
    <t>barbara.fuller@rediffmail.com</t>
  </si>
  <si>
    <t>kristina.haynes@yahoo.com</t>
  </si>
  <si>
    <t>diana.french@outlook.com</t>
  </si>
  <si>
    <t>edward.black@gmail.com</t>
  </si>
  <si>
    <t>james.brown@yahoo.com</t>
  </si>
  <si>
    <t>leslie.montgomery@gmail.com</t>
  </si>
  <si>
    <t>susan.thompson@outlook.com</t>
  </si>
  <si>
    <t>katie.hicks@rediffmail.com</t>
  </si>
  <si>
    <t>amy.griffin@rediffmail.com</t>
  </si>
  <si>
    <t>teresa.harvey@gmail.com</t>
  </si>
  <si>
    <t>regina.hawkins@rediffmail.com</t>
  </si>
  <si>
    <t>natasha.michael@gmail.com</t>
  </si>
  <si>
    <t>gary.huff@gmail.com</t>
  </si>
  <si>
    <t>christine.aguilar@gmail.com</t>
  </si>
  <si>
    <t>mike.carter@rediffmail.com</t>
  </si>
  <si>
    <t>thomas.owens@outlook.com</t>
  </si>
  <si>
    <t>angela.casey@gmail.com</t>
  </si>
  <si>
    <t>megan.hunt@rediffmail.com</t>
  </si>
  <si>
    <t>jared.horn@outlook.com</t>
  </si>
  <si>
    <t>brendan.kelly@rediffmail.com</t>
  </si>
  <si>
    <t>veronica.lopez@gmail.com</t>
  </si>
  <si>
    <t>sarah.benson@outlook.com</t>
  </si>
  <si>
    <t>william.richmond@outlook.com</t>
  </si>
  <si>
    <t>rachel.lopez@outlook.com</t>
  </si>
  <si>
    <t>scott.jones@yahoo.com</t>
  </si>
  <si>
    <t>gary.jacobs@gmail.com</t>
  </si>
  <si>
    <t>janice.gordon@yahoo.com</t>
  </si>
  <si>
    <t>2850 Matthew Ford, North Yolandachester, FL 67488</t>
  </si>
  <si>
    <t>931 Christopher Ways Suite 833, North Michelle, IN 53484</t>
  </si>
  <si>
    <t>2420 David Manors, Jessicaland, CT 41698</t>
  </si>
  <si>
    <t>02797 Martin Landing, South Michelle, VT 98781</t>
  </si>
  <si>
    <t>USNV Mueller, FPO AP 54648</t>
  </si>
  <si>
    <t>Unit 1433 Box 0246, DPO AP 94952</t>
  </si>
  <si>
    <t>5016 Snow Mountains Apt. 063, New Seanport, WY 41492</t>
  </si>
  <si>
    <t>USNS Ray, FPO AE 20238</t>
  </si>
  <si>
    <t>694 Graham Prairie Apt. 887, Jimenezfurt, MI 33044</t>
  </si>
  <si>
    <t>Unit 5964 Box 0721, DPO AP 01840</t>
  </si>
  <si>
    <t>3079 John Parkway Suite 961, Port Kristaview, MT 91019</t>
  </si>
  <si>
    <t>4082 Wang Terrace Suite 040, Victorialand, ME 41532</t>
  </si>
  <si>
    <t>2174 Thomas Avenue, Maciasborough, NJ 41465</t>
  </si>
  <si>
    <t>6262 Simpson Village, North Danielle, RI 76074</t>
  </si>
  <si>
    <t>70426 Lindsey Overpass Apt. 030, Jessicafurt, AR 46269</t>
  </si>
  <si>
    <t>65972 Peterson Route, Port Andrewfurt, SD 32892</t>
  </si>
  <si>
    <t>USS Murray, FPO AP 66559</t>
  </si>
  <si>
    <t>710 Anthony Wall Suite 137, East Davidstad, NV 61494</t>
  </si>
  <si>
    <t>4016 Ryan Passage, Collinsside, PA 88777</t>
  </si>
  <si>
    <t>278 Kathy Estate, Saraville, OH 77292</t>
  </si>
  <si>
    <t>065 Madison Way, Smithstad, CT 68011</t>
  </si>
  <si>
    <t>90155 Hines Spring, North Theresafurt, ME 31920</t>
  </si>
  <si>
    <t>61263 Jacob Isle, Amandatown, TN 34321</t>
  </si>
  <si>
    <t>16031 David Mountain Suite 431, Susanborough, PA 01910</t>
  </si>
  <si>
    <t>7112 Travis Glens Suite 790, Crystalland, WV 38373</t>
  </si>
  <si>
    <t>02370 Laura Station Suite 309, Brandonville, DE 18875</t>
  </si>
  <si>
    <t>424 Nichols Curve Suite 177, Lake Brianview, TX 17289</t>
  </si>
  <si>
    <t>USCGC Simmons, FPO AA 60167</t>
  </si>
  <si>
    <t>258 Michael Brooks Suite 363, Arnoldview, PA 49438</t>
  </si>
  <si>
    <t>0889 Brady Points, Port Meganhaven, NM 26553</t>
  </si>
  <si>
    <t>57940 Susan Creek Apt. 541, Port Aliciamouth, OR 90221</t>
  </si>
  <si>
    <t>981 Emily Stream, South Brianna, CO 98063</t>
  </si>
  <si>
    <t>792 Carlos Islands, West David, CT 16522</t>
  </si>
  <si>
    <t>087 Jacqueline Rue Apt. 694, East Tasha, SC 04859</t>
  </si>
  <si>
    <t>17381 Smith Ramp Suite 398, Courtneyville, AL 17756</t>
  </si>
  <si>
    <t>464 Carolyn Crest Suite 738, Lake Isaiah, CA 66153</t>
  </si>
  <si>
    <t>7143 Brandon Skyway Suite 899, Tylerton, IA 21756</t>
  </si>
  <si>
    <t>140 Tracy Fields, Lake Cynthiaton, TX 57190</t>
  </si>
  <si>
    <t>480 Summers Lock Suite 819, Sarahborough, IA 59863</t>
  </si>
  <si>
    <t>PSC 0550, Box 2737, APO AE 75772</t>
  </si>
  <si>
    <t>934 Levine View, Brentport, NE 38210</t>
  </si>
  <si>
    <t>48611 Clark Village, West Anne, GA 92865</t>
  </si>
  <si>
    <t>56908 Sydney Park Suite 632, West Anthonyport, NC 15954</t>
  </si>
  <si>
    <t>907 Kimberly Hill, Murrayfort, NH 88384</t>
  </si>
  <si>
    <t>06912 Brown Pine Apt. 763, Teresamouth, HI 24377</t>
  </si>
  <si>
    <t>30313 Reyes Parkways Suite 392, Port Bradley, SC 24078</t>
  </si>
  <si>
    <t>3959 Bell Dale, North Jacob, LA 07934</t>
  </si>
  <si>
    <t>86837 Bell Meadows, North Jasonshire, UT 51354</t>
  </si>
  <si>
    <t>4601 Miller Lock, Williamsbury, IA 10943</t>
  </si>
  <si>
    <t>6250 David Loaf Suite 561, North Pamelaberg, WV 63652</t>
  </si>
  <si>
    <t>PSC 3316, Box 9303, APO AE 29513</t>
  </si>
  <si>
    <t>598 Jasmine Harbor, Turnerberg, SD 02371</t>
  </si>
  <si>
    <t>14131 Edwin Shore Apt. 190, Deniseberg, MD 90905</t>
  </si>
  <si>
    <t>04887 Kimberly Union Apt. 645, Port Laura, IL 97219</t>
  </si>
  <si>
    <t>56985 Sergio Extensions, Port Albert, CO 02898</t>
  </si>
  <si>
    <t>9296 Villanueva Branch, East Kevin, CO 93912</t>
  </si>
  <si>
    <t>72876 Lara Key Suite 383, Gutierrezton, OR 71683</t>
  </si>
  <si>
    <t>USCGC Harper, FPO AA 38349</t>
  </si>
  <si>
    <t>547 Kerry Expressway, Lake Amanda, AR 20321</t>
  </si>
  <si>
    <t>849 Tran Wells, New Lindsayville, WI 22669</t>
  </si>
  <si>
    <t>788 Kristina Lane, Montoyaside, VA 90756</t>
  </si>
  <si>
    <t>37549 Pope Isle Apt. 202, Tylerborough, MO 60042</t>
  </si>
  <si>
    <t>217 Scott Ville, Christophermouth, NH 83776</t>
  </si>
  <si>
    <t>58998 Sherry Haven, East Richard, FL 90775</t>
  </si>
  <si>
    <t>4647 Hannah Centers, Rhodesburgh, NH 89363</t>
  </si>
  <si>
    <t>7510 Jose Knolls, Candicechester, LA 62815</t>
  </si>
  <si>
    <t>089 Rice Shoal Suite 491, Juarezmouth, MI 88715</t>
  </si>
  <si>
    <t>25126 Nancy Fort Suite 568, Alexandrachester, AZ 44823</t>
  </si>
  <si>
    <t>619 Parker Turnpike Apt. 025, West Brucehaven, ID 48437</t>
  </si>
  <si>
    <t>2417 Brown Ford, West Timothyside, RI 45629</t>
  </si>
  <si>
    <t>89748 Campbell Drive, South Tannerland, WI 13143</t>
  </si>
  <si>
    <t>3303 Kennedy Springs Suite 830, East Amybury, MI 95595</t>
  </si>
  <si>
    <t>08413 Lynch Parkway, Calderonstad, NV 32697</t>
  </si>
  <si>
    <t>134 Mcintosh Unions Suite 574, Lake Laura, DE 96577</t>
  </si>
  <si>
    <t>18295 Thomas River, Kochville, NH 80868</t>
  </si>
  <si>
    <t>163 Jeffrey Drive, South Mary, NH 23999</t>
  </si>
  <si>
    <t>5879 Susan Via Apt. 886, Sandovalbury, WV 61449</t>
  </si>
  <si>
    <t>221 Frey Crossing Suite 192, South Taylorland, HI 72875</t>
  </si>
  <si>
    <t>135 Teresa Oval Apt. 825, East Katherineport, WY 13714</t>
  </si>
  <si>
    <t>47821 William Station, East Ashleymouth, FL 20562</t>
  </si>
  <si>
    <t>848 William Port, New Marilyn, SD 58000</t>
  </si>
  <si>
    <t>07350 Aaron Meadow Suite 138, Kiaraberg, AL 79545</t>
  </si>
  <si>
    <t>02669 Kirk Squares, Davisville, VA 51272</t>
  </si>
  <si>
    <t>096 Santos Neck Apt. 937, Benjaminmouth, FL 61454</t>
  </si>
  <si>
    <t>78992 Justin Estates Suite 226, Floresberg, NM 40797</t>
  </si>
  <si>
    <t>58608 Alexander Terrace, South Bryan, SC 85541</t>
  </si>
  <si>
    <t>3284 Martin Neck, Lopezville, NY 69154</t>
  </si>
  <si>
    <t>3971 Ortiz Fields, Lake Jackfort, IA 97132</t>
  </si>
  <si>
    <t>43920 Shaffer Valley Suite 531, South Jerry, MD 67120</t>
  </si>
  <si>
    <t>089 Farley Terrace, Thomashaven, MT 56607</t>
  </si>
  <si>
    <t>03765 Velazquez Knoll Suite 478, Richardshire, UT 17200</t>
  </si>
  <si>
    <t>43325 Barbara Tunnel, Port James, LA 16246</t>
  </si>
  <si>
    <t>688 Donald Oval Suite 089, Shepardport, CA 50844</t>
  </si>
  <si>
    <t>660 Karen Station Apt. 887, Allenside, ID 03170</t>
  </si>
  <si>
    <t>5399 Hayes Well, West Pennystad, IL 93798</t>
  </si>
  <si>
    <t>4021 Brown Orchard Apt. 026, Christinahaven, OK 18499</t>
  </si>
  <si>
    <t>90435 Bonnie Points Suite 886, Jenniferfurt, WV 20187</t>
  </si>
  <si>
    <t>086 Kristin Manor Apt. 829, Marissabury, CT 12152</t>
  </si>
  <si>
    <t>USNV Williams, FPO AP 23197</t>
  </si>
  <si>
    <t>5812 Evelyn Mountains Suite 845, Ortiztown, MN 86166</t>
  </si>
  <si>
    <t>OID2497</t>
  </si>
  <si>
    <t>OID7056</t>
  </si>
  <si>
    <t>OID2597</t>
  </si>
  <si>
    <t>OID1956</t>
  </si>
  <si>
    <t>OID2793</t>
  </si>
  <si>
    <t>OID1483</t>
  </si>
  <si>
    <t>OID7502</t>
  </si>
  <si>
    <t>OID4372</t>
  </si>
  <si>
    <t>OID3528</t>
  </si>
  <si>
    <t>OID9634</t>
  </si>
  <si>
    <t>OID3145</t>
  </si>
  <si>
    <t>OID3136</t>
  </si>
  <si>
    <t>OID6886</t>
  </si>
  <si>
    <t>OID3509</t>
  </si>
  <si>
    <t>OID3689</t>
  </si>
  <si>
    <t>OID1911</t>
  </si>
  <si>
    <t>OID6520</t>
  </si>
  <si>
    <t>OID6123</t>
  </si>
  <si>
    <t>OID1699</t>
  </si>
  <si>
    <t>OID3792</t>
  </si>
  <si>
    <t>OID7663</t>
  </si>
  <si>
    <t>OID7609</t>
  </si>
  <si>
    <t>OID8875</t>
  </si>
  <si>
    <t>OID4032</t>
  </si>
  <si>
    <t>OID9964</t>
  </si>
  <si>
    <t>OID2121</t>
  </si>
  <si>
    <t>OID8953</t>
  </si>
  <si>
    <t>OID8034</t>
  </si>
  <si>
    <t>OID2817</t>
  </si>
  <si>
    <t>OID4643</t>
  </si>
  <si>
    <t>OID4558</t>
  </si>
  <si>
    <t>OID8699</t>
  </si>
  <si>
    <t>OID5502</t>
  </si>
  <si>
    <t>OID6974</t>
  </si>
  <si>
    <t>OID2701</t>
  </si>
  <si>
    <t>OID4432</t>
  </si>
  <si>
    <t>OID3502</t>
  </si>
  <si>
    <t>OID4411</t>
  </si>
  <si>
    <t>OID6304</t>
  </si>
  <si>
    <t>OID5126</t>
  </si>
  <si>
    <t>OID8577</t>
  </si>
  <si>
    <t>OID7688</t>
  </si>
  <si>
    <t>OID4670</t>
  </si>
  <si>
    <t>OID3319</t>
  </si>
  <si>
    <t>OID6911</t>
  </si>
  <si>
    <t>OID8494</t>
  </si>
  <si>
    <t>OID6898</t>
  </si>
  <si>
    <t>OID7606</t>
  </si>
  <si>
    <t>OID6503</t>
  </si>
  <si>
    <t>OID3616</t>
  </si>
  <si>
    <t>OID2170</t>
  </si>
  <si>
    <t>OID9880</t>
  </si>
  <si>
    <t>OID8620</t>
  </si>
  <si>
    <t>OID4770</t>
  </si>
  <si>
    <t>OID6555</t>
  </si>
  <si>
    <t>OID2152</t>
  </si>
  <si>
    <t>OID2991</t>
  </si>
  <si>
    <t>OID8162</t>
  </si>
  <si>
    <t>OID8169</t>
  </si>
  <si>
    <t>OID5832</t>
  </si>
  <si>
    <t>OID7806</t>
  </si>
  <si>
    <t>OID4875</t>
  </si>
  <si>
    <t>OID4070</t>
  </si>
  <si>
    <t>OID7679</t>
  </si>
  <si>
    <t>OID3097</t>
  </si>
  <si>
    <t>OID8869</t>
  </si>
  <si>
    <t>OID2686</t>
  </si>
  <si>
    <t>OID1046</t>
  </si>
  <si>
    <t>OID1597</t>
  </si>
  <si>
    <t>OID1157</t>
  </si>
  <si>
    <t>OID7358</t>
  </si>
  <si>
    <t>OID7453</t>
  </si>
  <si>
    <t>OID1573</t>
  </si>
  <si>
    <t>OID3035</t>
  </si>
  <si>
    <t>OID4415</t>
  </si>
  <si>
    <t>OID6237</t>
  </si>
  <si>
    <t>OID1520</t>
  </si>
  <si>
    <t>OID2157</t>
  </si>
  <si>
    <t>OID6374</t>
  </si>
  <si>
    <t>OID8388</t>
  </si>
  <si>
    <t>OID5850</t>
  </si>
  <si>
    <t>OID8041</t>
  </si>
  <si>
    <t>OID5605</t>
  </si>
  <si>
    <t>OID7077</t>
  </si>
  <si>
    <t>OID5787</t>
  </si>
  <si>
    <t>OID3140</t>
  </si>
  <si>
    <t>OID6771</t>
  </si>
  <si>
    <t>OID8988</t>
  </si>
  <si>
    <t>OID9398</t>
  </si>
  <si>
    <t>OID9822</t>
  </si>
  <si>
    <t>OID1269</t>
  </si>
  <si>
    <t>OID9915</t>
  </si>
  <si>
    <t>OID3348</t>
  </si>
  <si>
    <t>OID8431</t>
  </si>
  <si>
    <t>OID6943</t>
  </si>
  <si>
    <t>OID6229</t>
  </si>
  <si>
    <t>OID6912</t>
  </si>
  <si>
    <t>OID5081</t>
  </si>
  <si>
    <t>OID5610</t>
  </si>
  <si>
    <t>OID7759</t>
  </si>
  <si>
    <t>OID4481</t>
  </si>
  <si>
    <t>OID6749</t>
  </si>
  <si>
    <t>OID8681</t>
  </si>
  <si>
    <t>OID5607</t>
  </si>
  <si>
    <t>OID5389</t>
  </si>
  <si>
    <t>OID9743</t>
  </si>
  <si>
    <t>OID7866</t>
  </si>
  <si>
    <t>OID1137</t>
  </si>
  <si>
    <t>OID4685</t>
  </si>
  <si>
    <t>OID9584</t>
  </si>
  <si>
    <t>OID1686</t>
  </si>
  <si>
    <t>OID5272</t>
  </si>
  <si>
    <t>OID7359</t>
  </si>
  <si>
    <t>OID2938</t>
  </si>
  <si>
    <t>OID2519</t>
  </si>
  <si>
    <t>OID1134</t>
  </si>
  <si>
    <t>OID9735</t>
  </si>
  <si>
    <t>OID9515</t>
  </si>
  <si>
    <t>OID6608</t>
  </si>
  <si>
    <t>OID2099</t>
  </si>
  <si>
    <t>OID4548</t>
  </si>
  <si>
    <t>OID5978</t>
  </si>
  <si>
    <t>OID3750</t>
  </si>
  <si>
    <t>OID5108</t>
  </si>
  <si>
    <t>OID4185</t>
  </si>
  <si>
    <t>OID1418</t>
  </si>
  <si>
    <t>OID1411</t>
  </si>
  <si>
    <t>OID8692</t>
  </si>
  <si>
    <t>OID4840</t>
  </si>
  <si>
    <t>OID1309</t>
  </si>
  <si>
    <t>OID2746</t>
  </si>
  <si>
    <t>OID9360</t>
  </si>
  <si>
    <t>OID6453</t>
  </si>
  <si>
    <t>OID9745</t>
  </si>
  <si>
    <t>OID4081</t>
  </si>
  <si>
    <t>OID3967</t>
  </si>
  <si>
    <t>OID9112</t>
  </si>
  <si>
    <t>OID8628</t>
  </si>
  <si>
    <t>OID5996</t>
  </si>
  <si>
    <t>OID5210</t>
  </si>
  <si>
    <t>OID1379</t>
  </si>
  <si>
    <t>OID6716</t>
  </si>
  <si>
    <t>OID9804</t>
  </si>
  <si>
    <t>OID9798</t>
  </si>
  <si>
    <t>OID4965</t>
  </si>
  <si>
    <t>OID3209</t>
  </si>
  <si>
    <t>OID6103</t>
  </si>
  <si>
    <t>OID4368</t>
  </si>
  <si>
    <t>OID1692</t>
  </si>
  <si>
    <t>OID4399</t>
  </si>
  <si>
    <t>OID3568</t>
  </si>
  <si>
    <t>OID3469</t>
  </si>
  <si>
    <t>OID6217</t>
  </si>
  <si>
    <t>OID1153</t>
  </si>
  <si>
    <t>OID7258</t>
  </si>
  <si>
    <t>OID8380</t>
  </si>
  <si>
    <t>OID9224</t>
  </si>
  <si>
    <t>OID4506</t>
  </si>
  <si>
    <t>OID7689</t>
  </si>
  <si>
    <t>OID8004</t>
  </si>
  <si>
    <t>OID1317</t>
  </si>
  <si>
    <t>OID2429</t>
  </si>
  <si>
    <t>OID1159</t>
  </si>
  <si>
    <t>OID4560</t>
  </si>
  <si>
    <t>OID6752</t>
  </si>
  <si>
    <t>OID7059</t>
  </si>
  <si>
    <t>OID1243</t>
  </si>
  <si>
    <t>OID5366</t>
  </si>
  <si>
    <t>OID1663</t>
  </si>
  <si>
    <t>OID7664</t>
  </si>
  <si>
    <t>OID4364</t>
  </si>
  <si>
    <t>OID9577</t>
  </si>
  <si>
    <t>OID5700</t>
  </si>
  <si>
    <t>OID1054</t>
  </si>
  <si>
    <t>OID6420</t>
  </si>
  <si>
    <t>OID2659</t>
  </si>
  <si>
    <t>OID5326</t>
  </si>
  <si>
    <t>OID4465</t>
  </si>
  <si>
    <t>OID9627</t>
  </si>
  <si>
    <t>OID9267</t>
  </si>
  <si>
    <t>OID5402</t>
  </si>
  <si>
    <t>OID8716</t>
  </si>
  <si>
    <t>OID4014</t>
  </si>
  <si>
    <t>OID8569</t>
  </si>
  <si>
    <t>OID6330</t>
  </si>
  <si>
    <t>OID6607</t>
  </si>
  <si>
    <t>OID4892</t>
  </si>
  <si>
    <t>OID9692</t>
  </si>
  <si>
    <t>OID4746</t>
  </si>
  <si>
    <t>OID6057</t>
  </si>
  <si>
    <t>OID3134</t>
  </si>
  <si>
    <t>OID7980</t>
  </si>
  <si>
    <t>OID7432</t>
  </si>
  <si>
    <t>OID9465</t>
  </si>
  <si>
    <t>OID9872</t>
  </si>
  <si>
    <t>OID6856</t>
  </si>
  <si>
    <t>OID1826</t>
  </si>
  <si>
    <t>OID3421</t>
  </si>
  <si>
    <t>OID6869</t>
  </si>
  <si>
    <t>OID6635</t>
  </si>
  <si>
    <t>OID8295</t>
  </si>
  <si>
    <t>OID4642</t>
  </si>
  <si>
    <t>OID7380</t>
  </si>
  <si>
    <t>OID1086</t>
  </si>
  <si>
    <t>OID6936</t>
  </si>
  <si>
    <t>OID5913</t>
  </si>
  <si>
    <t>OID8074</t>
  </si>
  <si>
    <t>OID1076</t>
  </si>
  <si>
    <t>OID8347</t>
  </si>
  <si>
    <t>OID6373</t>
  </si>
  <si>
    <t>OID5372</t>
  </si>
  <si>
    <t>OID8585</t>
  </si>
  <si>
    <t>OID3760</t>
  </si>
  <si>
    <t>OID9705</t>
  </si>
  <si>
    <t>OID7486</t>
  </si>
  <si>
    <t>OID7418</t>
  </si>
  <si>
    <t>OID2338</t>
  </si>
  <si>
    <t>OID8114</t>
  </si>
  <si>
    <t>OID9805</t>
  </si>
  <si>
    <t>OID7003</t>
  </si>
  <si>
    <t>OID3570</t>
  </si>
  <si>
    <t>OID4097</t>
  </si>
  <si>
    <t>OID7090</t>
  </si>
  <si>
    <t>OID8741</t>
  </si>
  <si>
    <t>OID6002</t>
  </si>
  <si>
    <t>OID1071</t>
  </si>
  <si>
    <t>OID6767</t>
  </si>
  <si>
    <t>OID4369</t>
  </si>
  <si>
    <t>OID5283</t>
  </si>
  <si>
    <t>OID2949</t>
  </si>
  <si>
    <t>OID7412</t>
  </si>
  <si>
    <t>OID6485</t>
  </si>
  <si>
    <t>OID6541</t>
  </si>
  <si>
    <t>OID3550</t>
  </si>
  <si>
    <t>OID7812</t>
  </si>
  <si>
    <t>OID4101</t>
  </si>
  <si>
    <t>OID2704</t>
  </si>
  <si>
    <t>OID3902</t>
  </si>
  <si>
    <t>OID6097</t>
  </si>
  <si>
    <t>OID2270</t>
  </si>
  <si>
    <t>OID4575</t>
  </si>
  <si>
    <t>OID5999</t>
  </si>
  <si>
    <t>OID9816</t>
  </si>
  <si>
    <t>OID1592</t>
  </si>
  <si>
    <t>OID9630</t>
  </si>
  <si>
    <t>OID4710</t>
  </si>
  <si>
    <t>OID8486</t>
  </si>
  <si>
    <t>OID1898</t>
  </si>
  <si>
    <t>OID1669</t>
  </si>
  <si>
    <t>OID3607</t>
  </si>
  <si>
    <t>OID6600</t>
  </si>
  <si>
    <t>OID3490</t>
  </si>
  <si>
    <t>OID5561</t>
  </si>
  <si>
    <t>OID8830</t>
  </si>
  <si>
    <t>OID9527</t>
  </si>
  <si>
    <t>OID1067</t>
  </si>
  <si>
    <t>OID2119</t>
  </si>
  <si>
    <t>OID5802</t>
  </si>
  <si>
    <t>OID4569</t>
  </si>
  <si>
    <t>OID1508</t>
  </si>
  <si>
    <t>OID4815</t>
  </si>
  <si>
    <t>OID8974</t>
  </si>
  <si>
    <t>OID6987</t>
  </si>
  <si>
    <t>OID5834</t>
  </si>
  <si>
    <t>OID5182</t>
  </si>
  <si>
    <t>OID9700</t>
  </si>
  <si>
    <t>OID1135</t>
  </si>
  <si>
    <t>OID9451</t>
  </si>
  <si>
    <t>OID4659</t>
  </si>
  <si>
    <t>OID7205</t>
  </si>
  <si>
    <t>OID6297</t>
  </si>
  <si>
    <t>OID3358</t>
  </si>
  <si>
    <t>OID4719</t>
  </si>
  <si>
    <t>OID1586</t>
  </si>
  <si>
    <t>OID2353</t>
  </si>
  <si>
    <t>OID5696</t>
  </si>
  <si>
    <t>OID7946</t>
  </si>
  <si>
    <t>OID4402</t>
  </si>
  <si>
    <t>OID5186</t>
  </si>
  <si>
    <t>OID7156</t>
  </si>
  <si>
    <t>OID3574</t>
  </si>
  <si>
    <t>OID1477</t>
  </si>
  <si>
    <t>OID4295</t>
  </si>
  <si>
    <t>OID7828</t>
  </si>
  <si>
    <t>OID7754</t>
  </si>
  <si>
    <t>OID8270</t>
  </si>
  <si>
    <t>OID8680</t>
  </si>
  <si>
    <t>OID7102</t>
  </si>
  <si>
    <t>OID7555</t>
  </si>
  <si>
    <t>OID3165</t>
  </si>
  <si>
    <t>OID9628</t>
  </si>
  <si>
    <t>OID9782</t>
  </si>
  <si>
    <t>OID4491</t>
  </si>
  <si>
    <t>OID4580</t>
  </si>
  <si>
    <t>OID7954</t>
  </si>
  <si>
    <t>OID6246</t>
  </si>
  <si>
    <t>OID3969</t>
  </si>
  <si>
    <t>OID2523</t>
  </si>
  <si>
    <t>OID3980</t>
  </si>
  <si>
    <t>OID7910</t>
  </si>
  <si>
    <t>OID9247</t>
  </si>
  <si>
    <t>OID1041</t>
  </si>
  <si>
    <t>OID1693</t>
  </si>
  <si>
    <t>OID8609</t>
  </si>
  <si>
    <t>OID2944</t>
  </si>
  <si>
    <t>OID5985</t>
  </si>
  <si>
    <t>OID7302</t>
  </si>
  <si>
    <t>OID6045</t>
  </si>
  <si>
    <t>OID1336</t>
  </si>
  <si>
    <t>OID7117</t>
  </si>
  <si>
    <t>OID3749</t>
  </si>
  <si>
    <t>OID5671</t>
  </si>
  <si>
    <t>OID8203</t>
  </si>
  <si>
    <t>OID1246</t>
  </si>
  <si>
    <t>OID4412</t>
  </si>
  <si>
    <t>OID3900</t>
  </si>
  <si>
    <t>OID9756</t>
  </si>
  <si>
    <t>OID8307</t>
  </si>
  <si>
    <t>OID5575</t>
  </si>
  <si>
    <t>OID3467</t>
  </si>
  <si>
    <t>OID6340</t>
  </si>
  <si>
    <t>OID2501</t>
  </si>
  <si>
    <t>OID6973</t>
  </si>
  <si>
    <t>OID6597</t>
  </si>
  <si>
    <t>OID5745</t>
  </si>
  <si>
    <t>OID4105</t>
  </si>
  <si>
    <t>OID8649</t>
  </si>
  <si>
    <t>OID2779</t>
  </si>
  <si>
    <t>OID1905</t>
  </si>
  <si>
    <t>OID4599</t>
  </si>
  <si>
    <t>OID4147</t>
  </si>
  <si>
    <t>OID3681</t>
  </si>
  <si>
    <t>OID5255</t>
  </si>
  <si>
    <t>OID9990</t>
  </si>
  <si>
    <t>OID1756</t>
  </si>
  <si>
    <t>OID1866</t>
  </si>
  <si>
    <t>OID2619</t>
  </si>
  <si>
    <t>OID2505</t>
  </si>
  <si>
    <t>OID7850</t>
  </si>
  <si>
    <t>OID1966</t>
  </si>
  <si>
    <t>OID3837</t>
  </si>
  <si>
    <t>OID9187</t>
  </si>
  <si>
    <t>OID1179</t>
  </si>
  <si>
    <t>OID7065</t>
  </si>
  <si>
    <t>OID6906</t>
  </si>
  <si>
    <t>OID7996</t>
  </si>
  <si>
    <t>OID1114</t>
  </si>
  <si>
    <t>OID7303</t>
  </si>
  <si>
    <t>OID2173</t>
  </si>
  <si>
    <t>OID9693</t>
  </si>
  <si>
    <t>OID9748</t>
  </si>
  <si>
    <t>OID6469</t>
  </si>
  <si>
    <t>OID1013</t>
  </si>
  <si>
    <t>OID1219</t>
  </si>
  <si>
    <t>OID9988</t>
  </si>
  <si>
    <t>OID6264</t>
  </si>
  <si>
    <t>OID7329</t>
  </si>
  <si>
    <t>OID2873</t>
  </si>
  <si>
    <t>OID6775</t>
  </si>
  <si>
    <t>OID4169</t>
  </si>
  <si>
    <t>OID6945</t>
  </si>
  <si>
    <t>OID6794</t>
  </si>
  <si>
    <t>OID2412</t>
  </si>
  <si>
    <t>OID7443</t>
  </si>
  <si>
    <t>OID8860</t>
  </si>
  <si>
    <t>OID9035</t>
  </si>
  <si>
    <t>OID7382</t>
  </si>
  <si>
    <t>OID7593</t>
  </si>
  <si>
    <t>OID9980</t>
  </si>
  <si>
    <t>OID2440</t>
  </si>
  <si>
    <t>OID7256</t>
  </si>
  <si>
    <t>OID6854</t>
  </si>
  <si>
    <t>OID9600</t>
  </si>
  <si>
    <t>OID3186</t>
  </si>
  <si>
    <t>OID1420</t>
  </si>
  <si>
    <t>OID4436</t>
  </si>
  <si>
    <t>OID8542</t>
  </si>
  <si>
    <t>OID4538</t>
  </si>
  <si>
    <t>OID8225</t>
  </si>
  <si>
    <t>OID5130</t>
  </si>
  <si>
    <t>OID9222</t>
  </si>
  <si>
    <t>OID3523</t>
  </si>
  <si>
    <t>OID3834</t>
  </si>
  <si>
    <t>OID9975</t>
  </si>
  <si>
    <t>OID6893</t>
  </si>
  <si>
    <t>OID8192</t>
  </si>
  <si>
    <t>OID7904</t>
  </si>
  <si>
    <t>OID6504</t>
  </si>
  <si>
    <t>OID7409</t>
  </si>
  <si>
    <t>OID8708</t>
  </si>
  <si>
    <t>OID9123</t>
  </si>
  <si>
    <t>OID9178</t>
  </si>
  <si>
    <t>OID2529</t>
  </si>
  <si>
    <t>OID3125</t>
  </si>
  <si>
    <t>OID4011</t>
  </si>
  <si>
    <t>OID8575</t>
  </si>
  <si>
    <t>OID7667</t>
  </si>
  <si>
    <t>OID8913</t>
  </si>
  <si>
    <t>OID1833</t>
  </si>
  <si>
    <t>OID5190</t>
  </si>
  <si>
    <t>OID9808</t>
  </si>
  <si>
    <t>OID8104</t>
  </si>
  <si>
    <t>OID2571</t>
  </si>
  <si>
    <t>OID1869</t>
  </si>
  <si>
    <t>OID5598</t>
  </si>
  <si>
    <t>OID7417</t>
  </si>
  <si>
    <t>OID6410</t>
  </si>
  <si>
    <t>OID7287</t>
  </si>
  <si>
    <t>OID3637</t>
  </si>
  <si>
    <t>OID2097</t>
  </si>
  <si>
    <t>OID3388</t>
  </si>
  <si>
    <t>OID9324</t>
  </si>
  <si>
    <t>OID3556</t>
  </si>
  <si>
    <t>OID9404</t>
  </si>
  <si>
    <t>OID4552</t>
  </si>
  <si>
    <t>OID7008</t>
  </si>
  <si>
    <t>OID4240</t>
  </si>
  <si>
    <t>OID3727</t>
  </si>
  <si>
    <t>OID8955</t>
  </si>
  <si>
    <t>OID1744</t>
  </si>
  <si>
    <t>OID5831</t>
  </si>
  <si>
    <t>OID2842</t>
  </si>
  <si>
    <t>OID1661</t>
  </si>
  <si>
    <t>OID4514</t>
  </si>
  <si>
    <t>OID3981</t>
  </si>
  <si>
    <t>OID6634</t>
  </si>
  <si>
    <t>OID9069</t>
  </si>
  <si>
    <t>OID6802</t>
  </si>
  <si>
    <t>OID4442</t>
  </si>
  <si>
    <t>OID4995</t>
  </si>
  <si>
    <t>OID7650</t>
  </si>
  <si>
    <t>OID5555</t>
  </si>
  <si>
    <t>OID1769</t>
  </si>
  <si>
    <t>OID2189</t>
  </si>
  <si>
    <t>OID7454</t>
  </si>
  <si>
    <t>OID4219</t>
  </si>
  <si>
    <t>OID1694</t>
  </si>
  <si>
    <t>OID7495</t>
  </si>
  <si>
    <t>OID1080</t>
  </si>
  <si>
    <t>OID4539</t>
  </si>
  <si>
    <t>OID8093</t>
  </si>
  <si>
    <t>OID1707</t>
  </si>
  <si>
    <t>OID5703</t>
  </si>
  <si>
    <t>OID7457</t>
  </si>
  <si>
    <t>OID4784</t>
  </si>
  <si>
    <t>OID1726</t>
  </si>
  <si>
    <t>OID1073</t>
  </si>
  <si>
    <t>OID5883</t>
  </si>
  <si>
    <t>OID1025</t>
  </si>
  <si>
    <t>OID8826</t>
  </si>
  <si>
    <t>OID6254</t>
  </si>
  <si>
    <t>OID7518</t>
  </si>
  <si>
    <t>OID1706</t>
  </si>
  <si>
    <t>OID8288</t>
  </si>
  <si>
    <t>OID5229</t>
  </si>
  <si>
    <t>OID2595</t>
  </si>
  <si>
    <t>OID9478</t>
  </si>
  <si>
    <t>OID1169</t>
  </si>
  <si>
    <t>OID4932</t>
  </si>
  <si>
    <t>OID2383</t>
  </si>
  <si>
    <t>OID3361</t>
  </si>
  <si>
    <t>OID4837</t>
  </si>
  <si>
    <t>OID6975</t>
  </si>
  <si>
    <t>OID6436</t>
  </si>
  <si>
    <t>OID3921</t>
  </si>
  <si>
    <t>OID4056</t>
  </si>
  <si>
    <t>OID4907</t>
  </si>
  <si>
    <t>OID9684</t>
  </si>
  <si>
    <t>OID2044</t>
  </si>
  <si>
    <t>OID5367</t>
  </si>
  <si>
    <t>OID9374</t>
  </si>
  <si>
    <t>OID2767</t>
  </si>
  <si>
    <t>OID8981</t>
  </si>
  <si>
    <t>OID2246</t>
  </si>
  <si>
    <t>OID1779</t>
  </si>
  <si>
    <t>OID2005</t>
  </si>
  <si>
    <t>OID9578</t>
  </si>
  <si>
    <t>OID6319</t>
  </si>
  <si>
    <t>OID9461</t>
  </si>
  <si>
    <t>OID4522</t>
  </si>
  <si>
    <t>OID9862</t>
  </si>
  <si>
    <t>OID6361</t>
  </si>
  <si>
    <t>OID7238</t>
  </si>
  <si>
    <t>OID8446</t>
  </si>
  <si>
    <t>OID9459</t>
  </si>
  <si>
    <t>OID6433</t>
  </si>
  <si>
    <t>OID3128</t>
  </si>
  <si>
    <t>OID8972</t>
  </si>
  <si>
    <t>OID5970</t>
  </si>
  <si>
    <t>OID3491</t>
  </si>
  <si>
    <t>OID6651</t>
  </si>
  <si>
    <t>OID2861</t>
  </si>
  <si>
    <t>OID3302</t>
  </si>
  <si>
    <t>OID9922</t>
  </si>
  <si>
    <t>OID4613</t>
  </si>
  <si>
    <t>OID7483</t>
  </si>
  <si>
    <t>OID9257</t>
  </si>
  <si>
    <t>OID2941</t>
  </si>
  <si>
    <t>OID7475</t>
  </si>
  <si>
    <t>OID6847</t>
  </si>
  <si>
    <t>18:16:33</t>
  </si>
  <si>
    <t>01:46:33</t>
  </si>
  <si>
    <t>14:11:09</t>
  </si>
  <si>
    <t>15:34:34</t>
  </si>
  <si>
    <t>03:23:21</t>
  </si>
  <si>
    <t>16:55:06</t>
  </si>
  <si>
    <t>07:31:36</t>
  </si>
  <si>
    <t>19:27:45</t>
  </si>
  <si>
    <t>12:07:00</t>
  </si>
  <si>
    <t>13:46:47</t>
  </si>
  <si>
    <t>17:40:16</t>
  </si>
  <si>
    <t>15:09:49</t>
  </si>
  <si>
    <t>22:42:51</t>
  </si>
  <si>
    <t>14:52:54</t>
  </si>
  <si>
    <t>01:19:56</t>
  </si>
  <si>
    <t>04:13:27</t>
  </si>
  <si>
    <t>23:53:21</t>
  </si>
  <si>
    <t>19:16:28</t>
  </si>
  <si>
    <t>11:48:17</t>
  </si>
  <si>
    <t>06:34:00</t>
  </si>
  <si>
    <t>04:06:55</t>
  </si>
  <si>
    <t>10:38:12</t>
  </si>
  <si>
    <t>20:47:13</t>
  </si>
  <si>
    <t>08:09:52</t>
  </si>
  <si>
    <t>19:13:06</t>
  </si>
  <si>
    <t>06:04:50</t>
  </si>
  <si>
    <t>12:19:34</t>
  </si>
  <si>
    <t>08:30:48</t>
  </si>
  <si>
    <t>12:22:52</t>
  </si>
  <si>
    <t>00:40:20</t>
  </si>
  <si>
    <t>21:19:14</t>
  </si>
  <si>
    <t>02:22:40</t>
  </si>
  <si>
    <t>13:50:14</t>
  </si>
  <si>
    <t>01:48:02</t>
  </si>
  <si>
    <t>14:37:48</t>
  </si>
  <si>
    <t>05:01:37</t>
  </si>
  <si>
    <t>12:35:46</t>
  </si>
  <si>
    <t>23:34:14</t>
  </si>
  <si>
    <t>04:09:40</t>
  </si>
  <si>
    <t>04:03:43</t>
  </si>
  <si>
    <t>00:47:19</t>
  </si>
  <si>
    <t>12:37:23</t>
  </si>
  <si>
    <t>17:27:33</t>
  </si>
  <si>
    <t>01:59:03</t>
  </si>
  <si>
    <t>21:46:52</t>
  </si>
  <si>
    <t>18:49:59</t>
  </si>
  <si>
    <t>22:08:17</t>
  </si>
  <si>
    <t>19:20:51</t>
  </si>
  <si>
    <t>00:57:17</t>
  </si>
  <si>
    <t>04:25:34</t>
  </si>
  <si>
    <t>07:52:23</t>
  </si>
  <si>
    <t>04:32:42</t>
  </si>
  <si>
    <t>01:45:28</t>
  </si>
  <si>
    <t>12:30:02</t>
  </si>
  <si>
    <t>10:55:08</t>
  </si>
  <si>
    <t>14:13:38</t>
  </si>
  <si>
    <t>02:09:48</t>
  </si>
  <si>
    <t>07:24:54</t>
  </si>
  <si>
    <t>09:43:27</t>
  </si>
  <si>
    <t>02:34:25</t>
  </si>
  <si>
    <t>02:46:19</t>
  </si>
  <si>
    <t>18:25:37</t>
  </si>
  <si>
    <t>19:18:19</t>
  </si>
  <si>
    <t>09:15:50</t>
  </si>
  <si>
    <t>02:51:35</t>
  </si>
  <si>
    <t>20:59:40</t>
  </si>
  <si>
    <t>17:00:22</t>
  </si>
  <si>
    <t>22:51:56</t>
  </si>
  <si>
    <t>05:27:44</t>
  </si>
  <si>
    <t>15:26:04</t>
  </si>
  <si>
    <t>19:49:32</t>
  </si>
  <si>
    <t>21:08:59</t>
  </si>
  <si>
    <t>05:40:38</t>
  </si>
  <si>
    <t>22:11:06</t>
  </si>
  <si>
    <t>10:33:35</t>
  </si>
  <si>
    <t>18:41:53</t>
  </si>
  <si>
    <t>04:27:04</t>
  </si>
  <si>
    <t>23:24:39</t>
  </si>
  <si>
    <t>18:54:33</t>
  </si>
  <si>
    <t>04:27:02</t>
  </si>
  <si>
    <t>19:40:45</t>
  </si>
  <si>
    <t>02:08:49</t>
  </si>
  <si>
    <t>01:05:15</t>
  </si>
  <si>
    <t>18:29:21</t>
  </si>
  <si>
    <t>15:22:10</t>
  </si>
  <si>
    <t>19:45:13</t>
  </si>
  <si>
    <t>01:09:33</t>
  </si>
  <si>
    <t>07:05:58</t>
  </si>
  <si>
    <t>07:48:29</t>
  </si>
  <si>
    <t>12:17:34</t>
  </si>
  <si>
    <t>19:02:37</t>
  </si>
  <si>
    <t>03:34:35</t>
  </si>
  <si>
    <t>17:05:21</t>
  </si>
  <si>
    <t>23:41:08</t>
  </si>
  <si>
    <t>04:48:30</t>
  </si>
  <si>
    <t>17:09:49</t>
  </si>
  <si>
    <t>07:51:16</t>
  </si>
  <si>
    <t>21:43:03</t>
  </si>
  <si>
    <t>07:53:58</t>
  </si>
  <si>
    <t>01:16:21</t>
  </si>
  <si>
    <t>02:43:38</t>
  </si>
  <si>
    <t>13:25:18</t>
  </si>
  <si>
    <t>18:32:14</t>
  </si>
  <si>
    <t>16:10:50</t>
  </si>
  <si>
    <t>14:52:37</t>
  </si>
  <si>
    <t>15:04:45</t>
  </si>
  <si>
    <t>18:15:56</t>
  </si>
  <si>
    <t>00:17:47</t>
  </si>
  <si>
    <t>01:46:15</t>
  </si>
  <si>
    <t>09:44:25</t>
  </si>
  <si>
    <t>20:32:03</t>
  </si>
  <si>
    <t>12:57:10</t>
  </si>
  <si>
    <t>14:16:13</t>
  </si>
  <si>
    <t>19:46:32</t>
  </si>
  <si>
    <t>19:28:31</t>
  </si>
  <si>
    <t>06:22:42</t>
  </si>
  <si>
    <t>20:03:28</t>
  </si>
  <si>
    <t>13:06:48</t>
  </si>
  <si>
    <t>10:28:03</t>
  </si>
  <si>
    <t>09:19:53</t>
  </si>
  <si>
    <t>14:00:52</t>
  </si>
  <si>
    <t>07:11:09</t>
  </si>
  <si>
    <t>04:44:04</t>
  </si>
  <si>
    <t>10:51:20</t>
  </si>
  <si>
    <t>17:17:44</t>
  </si>
  <si>
    <t>01:24:01</t>
  </si>
  <si>
    <t>11:34:01</t>
  </si>
  <si>
    <t>02:04:13</t>
  </si>
  <si>
    <t>12:38:37</t>
  </si>
  <si>
    <t>08:18:11</t>
  </si>
  <si>
    <t>10:44:36</t>
  </si>
  <si>
    <t>17:09:22</t>
  </si>
  <si>
    <t>07:07:24</t>
  </si>
  <si>
    <t>07:27:27</t>
  </si>
  <si>
    <t>00:30:57</t>
  </si>
  <si>
    <t>20:10:38</t>
  </si>
  <si>
    <t>14:57:06</t>
  </si>
  <si>
    <t>10:20:44</t>
  </si>
  <si>
    <t>14:09:23</t>
  </si>
  <si>
    <t>10:48:56</t>
  </si>
  <si>
    <t>11:50:19</t>
  </si>
  <si>
    <t>22:34:39</t>
  </si>
  <si>
    <t>19:56:54</t>
  </si>
  <si>
    <t>19:28:23</t>
  </si>
  <si>
    <t>09:43:17</t>
  </si>
  <si>
    <t>06:49:56</t>
  </si>
  <si>
    <t>00:43:57</t>
  </si>
  <si>
    <t>15:45:08</t>
  </si>
  <si>
    <t>03:06:30</t>
  </si>
  <si>
    <t>07:13:46</t>
  </si>
  <si>
    <t>10:25:49</t>
  </si>
  <si>
    <t>04:33:43</t>
  </si>
  <si>
    <t>15:45:02</t>
  </si>
  <si>
    <t>08:45:48</t>
  </si>
  <si>
    <t>20:25:23</t>
  </si>
  <si>
    <t>10:35:10</t>
  </si>
  <si>
    <t>21:35:45</t>
  </si>
  <si>
    <t>16:54:11</t>
  </si>
  <si>
    <t>10:04:46</t>
  </si>
  <si>
    <t>12:05:04</t>
  </si>
  <si>
    <t>21:52:14</t>
  </si>
  <si>
    <t>08:31:11</t>
  </si>
  <si>
    <t>04:24:31</t>
  </si>
  <si>
    <t>14:41:09</t>
  </si>
  <si>
    <t>05:35:11</t>
  </si>
  <si>
    <t>11:01:20</t>
  </si>
  <si>
    <t>17:27:56</t>
  </si>
  <si>
    <t>02:56:50</t>
  </si>
  <si>
    <t>11:18:01</t>
  </si>
  <si>
    <t>03:11:30</t>
  </si>
  <si>
    <t>04:35:15</t>
  </si>
  <si>
    <t>10:35:41</t>
  </si>
  <si>
    <t>09:39:48</t>
  </si>
  <si>
    <t>13:31:33</t>
  </si>
  <si>
    <t>18:18:32</t>
  </si>
  <si>
    <t>16:59:55</t>
  </si>
  <si>
    <t>13:40:51</t>
  </si>
  <si>
    <t>08:11:19</t>
  </si>
  <si>
    <t>12:28:28</t>
  </si>
  <si>
    <t>05:33:41</t>
  </si>
  <si>
    <t>18:14:45</t>
  </si>
  <si>
    <t>03:08:05</t>
  </si>
  <si>
    <t>21:06:59</t>
  </si>
  <si>
    <t>14:49:31</t>
  </si>
  <si>
    <t>19:40:44</t>
  </si>
  <si>
    <t>16:25:28</t>
  </si>
  <si>
    <t>05:57:45</t>
  </si>
  <si>
    <t>13:16:36</t>
  </si>
  <si>
    <t>07:44:52</t>
  </si>
  <si>
    <t>12:51:15</t>
  </si>
  <si>
    <t>22:55:27</t>
  </si>
  <si>
    <t>01:31:08</t>
  </si>
  <si>
    <t>15:02:28</t>
  </si>
  <si>
    <t>06:54:02</t>
  </si>
  <si>
    <t>08:20:59</t>
  </si>
  <si>
    <t>14:00:27</t>
  </si>
  <si>
    <t>15:26:43</t>
  </si>
  <si>
    <t>22:25:26</t>
  </si>
  <si>
    <t>00:02:50</t>
  </si>
  <si>
    <t>22:46:23</t>
  </si>
  <si>
    <t>08:00:47</t>
  </si>
  <si>
    <t>09:33:35</t>
  </si>
  <si>
    <t>00:13:11</t>
  </si>
  <si>
    <t>20:01:38</t>
  </si>
  <si>
    <t>06:33:55</t>
  </si>
  <si>
    <t>09:46:43</t>
  </si>
  <si>
    <t>20:47:44</t>
  </si>
  <si>
    <t>14:37:23</t>
  </si>
  <si>
    <t>00:08:51</t>
  </si>
  <si>
    <t>09:31:27</t>
  </si>
  <si>
    <t>21:25:23</t>
  </si>
  <si>
    <t>16:44:13</t>
  </si>
  <si>
    <t>09:05:02</t>
  </si>
  <si>
    <t>03:29:39</t>
  </si>
  <si>
    <t>18:27:23</t>
  </si>
  <si>
    <t>01:15:18</t>
  </si>
  <si>
    <t>22:07:35</t>
  </si>
  <si>
    <t>10:24:24</t>
  </si>
  <si>
    <t>23:35:16</t>
  </si>
  <si>
    <t>04:53:37</t>
  </si>
  <si>
    <t>05:44:11</t>
  </si>
  <si>
    <t>18:03:08</t>
  </si>
  <si>
    <t>02:55:39</t>
  </si>
  <si>
    <t>23:25:51</t>
  </si>
  <si>
    <t>05:28:12</t>
  </si>
  <si>
    <t>06:47:14</t>
  </si>
  <si>
    <t>17:52:44</t>
  </si>
  <si>
    <t>22:31:31</t>
  </si>
  <si>
    <t>18:43:17</t>
  </si>
  <si>
    <t>09:55:21</t>
  </si>
  <si>
    <t>22:41:22</t>
  </si>
  <si>
    <t>13:21:50</t>
  </si>
  <si>
    <t>08:35:05</t>
  </si>
  <si>
    <t>06:30:57</t>
  </si>
  <si>
    <t>09:01:24</t>
  </si>
  <si>
    <t>10:38:44</t>
  </si>
  <si>
    <t>08:44:39</t>
  </si>
  <si>
    <t>10:10:51</t>
  </si>
  <si>
    <t>06:46:28</t>
  </si>
  <si>
    <t>22:27:32</t>
  </si>
  <si>
    <t>18:42:20</t>
  </si>
  <si>
    <t>17:44:01</t>
  </si>
  <si>
    <t>07:28:42</t>
  </si>
  <si>
    <t>01:25:50</t>
  </si>
  <si>
    <t>20:50:23</t>
  </si>
  <si>
    <t>17:44:17</t>
  </si>
  <si>
    <t>00:38:36</t>
  </si>
  <si>
    <t>22:30:30</t>
  </si>
  <si>
    <t>04:59:13</t>
  </si>
  <si>
    <t>17:19:09</t>
  </si>
  <si>
    <t>22:46:20</t>
  </si>
  <si>
    <t>03:47:08</t>
  </si>
  <si>
    <t>07:21:30</t>
  </si>
  <si>
    <t>16:49:20</t>
  </si>
  <si>
    <t>16:59:25</t>
  </si>
  <si>
    <t>06:15:44</t>
  </si>
  <si>
    <t>17:29:54</t>
  </si>
  <si>
    <t>05:25:01</t>
  </si>
  <si>
    <t>00:49:15</t>
  </si>
  <si>
    <t>10:13:34</t>
  </si>
  <si>
    <t>05:34:02</t>
  </si>
  <si>
    <t>03:37:20</t>
  </si>
  <si>
    <t>23:47:53</t>
  </si>
  <si>
    <t>15:54:45</t>
  </si>
  <si>
    <t>03:46:35</t>
  </si>
  <si>
    <t>17:39:16</t>
  </si>
  <si>
    <t>21:59:14</t>
  </si>
  <si>
    <t>21:47:08</t>
  </si>
  <si>
    <t>00:57:26</t>
  </si>
  <si>
    <t>21:16:04</t>
  </si>
  <si>
    <t>12:09:51</t>
  </si>
  <si>
    <t>15:38:50</t>
  </si>
  <si>
    <t>03:13:28</t>
  </si>
  <si>
    <t>14:01:51</t>
  </si>
  <si>
    <t>15:59:36</t>
  </si>
  <si>
    <t>17:56:01</t>
  </si>
  <si>
    <t>20:27:13</t>
  </si>
  <si>
    <t>22:18:21</t>
  </si>
  <si>
    <t>05:26:44</t>
  </si>
  <si>
    <t>13:33:00</t>
  </si>
  <si>
    <t>22:42:24</t>
  </si>
  <si>
    <t>07:28:15</t>
  </si>
  <si>
    <t>18:58:15</t>
  </si>
  <si>
    <t>00:57:10</t>
  </si>
  <si>
    <t>12:34:36</t>
  </si>
  <si>
    <t>03:53:04</t>
  </si>
  <si>
    <t>14:47:52</t>
  </si>
  <si>
    <t>20:27:42</t>
  </si>
  <si>
    <t>13:24:08</t>
  </si>
  <si>
    <t>09:58:35</t>
  </si>
  <si>
    <t>06:20:30</t>
  </si>
  <si>
    <t>17:53:01</t>
  </si>
  <si>
    <t>16:42:26</t>
  </si>
  <si>
    <t>02:56:56</t>
  </si>
  <si>
    <t>04:29:06</t>
  </si>
  <si>
    <t>10:04:49</t>
  </si>
  <si>
    <t>22:48:36</t>
  </si>
  <si>
    <t>05:46:53</t>
  </si>
  <si>
    <t>21:10:06</t>
  </si>
  <si>
    <t>05:56:42</t>
  </si>
  <si>
    <t>06:51:49</t>
  </si>
  <si>
    <t>01:23:40</t>
  </si>
  <si>
    <t>18:29:39</t>
  </si>
  <si>
    <t>13:33:06</t>
  </si>
  <si>
    <t>05:37:56</t>
  </si>
  <si>
    <t>14:57:23</t>
  </si>
  <si>
    <t>03:43:05</t>
  </si>
  <si>
    <t>17:53:46</t>
  </si>
  <si>
    <t>13:40:58</t>
  </si>
  <si>
    <t>04:49:20</t>
  </si>
  <si>
    <t>16:34:44</t>
  </si>
  <si>
    <t>23:44:50</t>
  </si>
  <si>
    <t>12:54:20</t>
  </si>
  <si>
    <t>05:06:18</t>
  </si>
  <si>
    <t>06:35:14</t>
  </si>
  <si>
    <t>20:14:30</t>
  </si>
  <si>
    <t>06:46:07</t>
  </si>
  <si>
    <t>23:19:47</t>
  </si>
  <si>
    <t>12:50:48</t>
  </si>
  <si>
    <t>23:34:28</t>
  </si>
  <si>
    <t>10:50:30</t>
  </si>
  <si>
    <t>11:53:55</t>
  </si>
  <si>
    <t>04:03:12</t>
  </si>
  <si>
    <t>19:44:28</t>
  </si>
  <si>
    <t>02:16:10</t>
  </si>
  <si>
    <t>09:47:21</t>
  </si>
  <si>
    <t>08:43:40</t>
  </si>
  <si>
    <t>03:11:02</t>
  </si>
  <si>
    <t>17:21:43</t>
  </si>
  <si>
    <t>23:40:15</t>
  </si>
  <si>
    <t>03:23:04</t>
  </si>
  <si>
    <t>08:45:23</t>
  </si>
  <si>
    <t>19:52:34</t>
  </si>
  <si>
    <t>21:53:54</t>
  </si>
  <si>
    <t>10:58:30</t>
  </si>
  <si>
    <t>05:53:55</t>
  </si>
  <si>
    <t>11:51:15</t>
  </si>
  <si>
    <t>12:37:13</t>
  </si>
  <si>
    <t>14:59:43</t>
  </si>
  <si>
    <t>14:04:30</t>
  </si>
  <si>
    <t>19:09:08</t>
  </si>
  <si>
    <t>23:47:36</t>
  </si>
  <si>
    <t>06:33:59</t>
  </si>
  <si>
    <t>09:15:42</t>
  </si>
  <si>
    <t>16:29:18</t>
  </si>
  <si>
    <t>17:23:49</t>
  </si>
  <si>
    <t>07:59:11</t>
  </si>
  <si>
    <t>23:40:03</t>
  </si>
  <si>
    <t>00:41:18</t>
  </si>
  <si>
    <t>21:12:50</t>
  </si>
  <si>
    <t>02:46:27</t>
  </si>
  <si>
    <t>06:59:53</t>
  </si>
  <si>
    <t>20:28:31</t>
  </si>
  <si>
    <t>13:39:02</t>
  </si>
  <si>
    <t>09:27:52</t>
  </si>
  <si>
    <t>08:29:32</t>
  </si>
  <si>
    <t>01:19:42</t>
  </si>
  <si>
    <t>05:54:36</t>
  </si>
  <si>
    <t>06:54:03</t>
  </si>
  <si>
    <t>11:52:12</t>
  </si>
  <si>
    <t>19:37:21</t>
  </si>
  <si>
    <t>15:34:31</t>
  </si>
  <si>
    <t>14:35:45</t>
  </si>
  <si>
    <t>15:44:41</t>
  </si>
  <si>
    <t>06:00:55</t>
  </si>
  <si>
    <t>15:11:02</t>
  </si>
  <si>
    <t>08:34:53</t>
  </si>
  <si>
    <t>15:18:11</t>
  </si>
  <si>
    <t>11:00:03</t>
  </si>
  <si>
    <t>08:26:50</t>
  </si>
  <si>
    <t>00:24:43</t>
  </si>
  <si>
    <t>10:05:03</t>
  </si>
  <si>
    <t>04:19:31</t>
  </si>
  <si>
    <t>17:14:37</t>
  </si>
  <si>
    <t>18:45:41</t>
  </si>
  <si>
    <t>23:43:28</t>
  </si>
  <si>
    <t>03:04:26</t>
  </si>
  <si>
    <t>12:27:25</t>
  </si>
  <si>
    <t>10:41:43</t>
  </si>
  <si>
    <t>20:10:43</t>
  </si>
  <si>
    <t>11:38:36</t>
  </si>
  <si>
    <t>10:33:52</t>
  </si>
  <si>
    <t>22:42:39</t>
  </si>
  <si>
    <t>09:31:29</t>
  </si>
  <si>
    <t>09:19:46</t>
  </si>
  <si>
    <t>21:14:38</t>
  </si>
  <si>
    <t>15:58:53</t>
  </si>
  <si>
    <t>12:05:41</t>
  </si>
  <si>
    <t>02:54:23</t>
  </si>
  <si>
    <t>07:05:11</t>
  </si>
  <si>
    <t>10:50:23</t>
  </si>
  <si>
    <t>18:34:02</t>
  </si>
  <si>
    <t>14:35:39</t>
  </si>
  <si>
    <t>02:52:20</t>
  </si>
  <si>
    <t>10:33:07</t>
  </si>
  <si>
    <t>09:51:24</t>
  </si>
  <si>
    <t>20:10:30</t>
  </si>
  <si>
    <t>20:53:04</t>
  </si>
  <si>
    <t>00:31:47</t>
  </si>
  <si>
    <t>04:04:19</t>
  </si>
  <si>
    <t>13:02:42</t>
  </si>
  <si>
    <t>21:07:18</t>
  </si>
  <si>
    <t>19:33:36</t>
  </si>
  <si>
    <t>12:14:10</t>
  </si>
  <si>
    <t>00:07:15</t>
  </si>
  <si>
    <t>08:47:14</t>
  </si>
  <si>
    <t>06:38:04</t>
  </si>
  <si>
    <t>05:45:27</t>
  </si>
  <si>
    <t>18:27:35</t>
  </si>
  <si>
    <t>08:19:07</t>
  </si>
  <si>
    <t>01:16:23</t>
  </si>
  <si>
    <t>02:27:18</t>
  </si>
  <si>
    <t>02:05:06</t>
  </si>
  <si>
    <t>08:18:15</t>
  </si>
  <si>
    <t>12:10:36</t>
  </si>
  <si>
    <t>04:12:20</t>
  </si>
  <si>
    <t>02:46:16</t>
  </si>
  <si>
    <t>05:37:55</t>
  </si>
  <si>
    <t>01:03:02</t>
  </si>
  <si>
    <t>18:12:36</t>
  </si>
  <si>
    <t>15:52:52</t>
  </si>
  <si>
    <t>11:10:43</t>
  </si>
  <si>
    <t>20:48:48</t>
  </si>
  <si>
    <t>12:04:15</t>
  </si>
  <si>
    <t>02:36:45</t>
  </si>
  <si>
    <t>02:29:46</t>
  </si>
  <si>
    <t>03:00:01</t>
  </si>
  <si>
    <t>01:12:34</t>
  </si>
  <si>
    <t>16:46:34</t>
  </si>
  <si>
    <t>12:40:06</t>
  </si>
  <si>
    <t>21:41:18</t>
  </si>
  <si>
    <t>18:51:12</t>
  </si>
  <si>
    <t>16:35:28</t>
  </si>
  <si>
    <t>06:13:30</t>
  </si>
  <si>
    <t>08:03:37</t>
  </si>
  <si>
    <t>04:43:46</t>
  </si>
  <si>
    <t>21:09:31</t>
  </si>
  <si>
    <t>01:04:28</t>
  </si>
  <si>
    <t>15:06:18</t>
  </si>
  <si>
    <t>15:43:42</t>
  </si>
  <si>
    <t>21:05:38</t>
  </si>
  <si>
    <t>16:01:40</t>
  </si>
  <si>
    <t>13:25:17</t>
  </si>
  <si>
    <t>07:19:13</t>
  </si>
  <si>
    <t>11:30:19</t>
  </si>
  <si>
    <t>03:51:26</t>
  </si>
  <si>
    <t>21:08:26</t>
  </si>
  <si>
    <t>02:29:08</t>
  </si>
  <si>
    <t>04:40:06</t>
  </si>
  <si>
    <t>01:51:31</t>
  </si>
  <si>
    <t>11:55:04</t>
  </si>
  <si>
    <t>19:48:44</t>
  </si>
  <si>
    <t>02:55:29</t>
  </si>
  <si>
    <t>08:36:31</t>
  </si>
  <si>
    <t>03:10:32</t>
  </si>
  <si>
    <t>17:54:41</t>
  </si>
  <si>
    <t>07:11:33</t>
  </si>
  <si>
    <t>06:50:14</t>
  </si>
  <si>
    <t>04:44:42</t>
  </si>
  <si>
    <t>09:50:05</t>
  </si>
  <si>
    <t>22:42:38</t>
  </si>
  <si>
    <t>18:23:17</t>
  </si>
  <si>
    <t>13:00:52</t>
  </si>
  <si>
    <t>04:53:45</t>
  </si>
  <si>
    <t>10:23:23</t>
  </si>
  <si>
    <t>20:13:44</t>
  </si>
  <si>
    <t>12:43:07</t>
  </si>
  <si>
    <t>22:16:48</t>
  </si>
  <si>
    <t>23:27:24</t>
  </si>
  <si>
    <t>15:33:07</t>
  </si>
  <si>
    <t>16:58:37</t>
  </si>
  <si>
    <t>15:06:44</t>
  </si>
  <si>
    <t>05:36:29</t>
  </si>
  <si>
    <t>12:50:57</t>
  </si>
  <si>
    <t>12:10:00</t>
  </si>
  <si>
    <t>15:56:55</t>
  </si>
  <si>
    <t>14:34:14</t>
  </si>
  <si>
    <t>00:44:05</t>
  </si>
  <si>
    <t>05:02:45</t>
  </si>
  <si>
    <t>16:28:38</t>
  </si>
  <si>
    <t>08:22:36</t>
  </si>
  <si>
    <t>02:53:11</t>
  </si>
  <si>
    <t>08:17:07</t>
  </si>
  <si>
    <t>01:02:33</t>
  </si>
  <si>
    <t>22:17:42</t>
  </si>
  <si>
    <t>07:36:32</t>
  </si>
  <si>
    <t>07:39:59</t>
  </si>
  <si>
    <t>18:04:56</t>
  </si>
  <si>
    <t>03:18:41</t>
  </si>
  <si>
    <t>20:38:05</t>
  </si>
  <si>
    <t>08:32:59</t>
  </si>
  <si>
    <t>12:42:28</t>
  </si>
  <si>
    <t>10:24:01</t>
  </si>
  <si>
    <t>12:19:38</t>
  </si>
  <si>
    <t>18:37:45</t>
  </si>
  <si>
    <t>21:17:39</t>
  </si>
  <si>
    <t>08:30:03</t>
  </si>
  <si>
    <t>17:02:09</t>
  </si>
  <si>
    <t>PID022</t>
  </si>
  <si>
    <t>PID015</t>
  </si>
  <si>
    <t>PID049</t>
  </si>
  <si>
    <t>PID010</t>
  </si>
  <si>
    <t>PID043</t>
  </si>
  <si>
    <t>PID023</t>
  </si>
  <si>
    <t>PID046</t>
  </si>
  <si>
    <t>PID034</t>
  </si>
  <si>
    <t>PID033</t>
  </si>
  <si>
    <t>PID041</t>
  </si>
  <si>
    <t>PID007</t>
  </si>
  <si>
    <t>PID042</t>
  </si>
  <si>
    <t>PID047</t>
  </si>
  <si>
    <t>PID039</t>
  </si>
  <si>
    <t>PID014</t>
  </si>
  <si>
    <t>PID024</t>
  </si>
  <si>
    <t>PID003</t>
  </si>
  <si>
    <t>PID008</t>
  </si>
  <si>
    <t>PID012</t>
  </si>
  <si>
    <t>PID028</t>
  </si>
  <si>
    <t>PID030</t>
  </si>
  <si>
    <t>PID004</t>
  </si>
  <si>
    <t>PID038</t>
  </si>
  <si>
    <t>PID018</t>
  </si>
  <si>
    <t>PID040</t>
  </si>
  <si>
    <t>PID050</t>
  </si>
  <si>
    <t>PID021</t>
  </si>
  <si>
    <t>PID036</t>
  </si>
  <si>
    <t>PID027</t>
  </si>
  <si>
    <t>PID031</t>
  </si>
  <si>
    <t>PID037</t>
  </si>
  <si>
    <t>PID020</t>
  </si>
  <si>
    <t>PID026</t>
  </si>
  <si>
    <t>PID001</t>
  </si>
  <si>
    <t>PID019</t>
  </si>
  <si>
    <t>PID009</t>
  </si>
  <si>
    <t>PID048</t>
  </si>
  <si>
    <t>PID017</t>
  </si>
  <si>
    <t>PID006</t>
  </si>
  <si>
    <t>PID025</t>
  </si>
  <si>
    <t>PID005</t>
  </si>
  <si>
    <t>PID035</t>
  </si>
  <si>
    <t>PID013</t>
  </si>
  <si>
    <t>PID032</t>
  </si>
  <si>
    <t>PID016</t>
  </si>
  <si>
    <t>PID044</t>
  </si>
  <si>
    <t>PID029</t>
  </si>
  <si>
    <t>PID002</t>
  </si>
  <si>
    <t>PID011</t>
  </si>
  <si>
    <t>PID045</t>
  </si>
  <si>
    <t>DEL0</t>
  </si>
  <si>
    <t>FLAT15</t>
  </si>
  <si>
    <t>FLAT10</t>
  </si>
  <si>
    <t>FLAT20</t>
  </si>
  <si>
    <t>08:51:31</t>
  </si>
  <si>
    <t>18:46:26</t>
  </si>
  <si>
    <t>00:33:26</t>
  </si>
  <si>
    <t>01:12:58</t>
  </si>
  <si>
    <t>22:10:58</t>
  </si>
  <si>
    <t>11:25:50</t>
  </si>
  <si>
    <t>14:29:50</t>
  </si>
  <si>
    <t>12:36:32</t>
  </si>
  <si>
    <t>23:05:41</t>
  </si>
  <si>
    <t>19:57:06</t>
  </si>
  <si>
    <t>19:38:50</t>
  </si>
  <si>
    <t>22:54:40</t>
  </si>
  <si>
    <t>13:19:45</t>
  </si>
  <si>
    <t>15:16:54</t>
  </si>
  <si>
    <t>21:47:03</t>
  </si>
  <si>
    <t>11:25:46</t>
  </si>
  <si>
    <t>12:55:59</t>
  </si>
  <si>
    <t>03:46:23</t>
  </si>
  <si>
    <t>10:08:54</t>
  </si>
  <si>
    <t>14:05:20</t>
  </si>
  <si>
    <t>13:39:21</t>
  </si>
  <si>
    <t>13:23:35</t>
  </si>
  <si>
    <t>16:23:04</t>
  </si>
  <si>
    <t>00:57:21</t>
  </si>
  <si>
    <t>04:38:19</t>
  </si>
  <si>
    <t>20:36:00</t>
  </si>
  <si>
    <t>10:04:54</t>
  </si>
  <si>
    <t>01:26:28</t>
  </si>
  <si>
    <t>08:01:21</t>
  </si>
  <si>
    <t>20:26:25</t>
  </si>
  <si>
    <t>17:27:57</t>
  </si>
  <si>
    <t>00:47:16</t>
  </si>
  <si>
    <t>08:49:03</t>
  </si>
  <si>
    <t>09:55:32</t>
  </si>
  <si>
    <t>09:09:46</t>
  </si>
  <si>
    <t>14:14:46</t>
  </si>
  <si>
    <t>00:00:51</t>
  </si>
  <si>
    <t>16:46:20</t>
  </si>
  <si>
    <t>01:56:00</t>
  </si>
  <si>
    <t>18:12:43</t>
  </si>
  <si>
    <t>11:25:58</t>
  </si>
  <si>
    <t>09:02:09</t>
  </si>
  <si>
    <t>15:28:39</t>
  </si>
  <si>
    <t>12:37:05</t>
  </si>
  <si>
    <t>16:09:29</t>
  </si>
  <si>
    <t>00:31:21</t>
  </si>
  <si>
    <t>06:23:07</t>
  </si>
  <si>
    <t>07:23:46</t>
  </si>
  <si>
    <t>09:51:58</t>
  </si>
  <si>
    <t>00:47:31</t>
  </si>
  <si>
    <t>17:14:10</t>
  </si>
  <si>
    <t>08:48:02</t>
  </si>
  <si>
    <t>07:09:53</t>
  </si>
  <si>
    <t>07:53:31</t>
  </si>
  <si>
    <t>10:56:05</t>
  </si>
  <si>
    <t>16:08:19</t>
  </si>
  <si>
    <t>03:08:52</t>
  </si>
  <si>
    <t>03:15:28</t>
  </si>
  <si>
    <t>00:00:42</t>
  </si>
  <si>
    <t>13:09:47</t>
  </si>
  <si>
    <t>20:00:32</t>
  </si>
  <si>
    <t>15:52:25</t>
  </si>
  <si>
    <t>02:44:55</t>
  </si>
  <si>
    <t>09:05:06</t>
  </si>
  <si>
    <t>05:56:26</t>
  </si>
  <si>
    <t>23:33:51</t>
  </si>
  <si>
    <t>12:18:47</t>
  </si>
  <si>
    <t>07:24:20</t>
  </si>
  <si>
    <t>21:00:17</t>
  </si>
  <si>
    <t>08:17:58</t>
  </si>
  <si>
    <t>22:41:33</t>
  </si>
  <si>
    <t>10:39:08</t>
  </si>
  <si>
    <t>05:38:59</t>
  </si>
  <si>
    <t>11:35:56</t>
  </si>
  <si>
    <t>05:24:44</t>
  </si>
  <si>
    <t>19:58:13</t>
  </si>
  <si>
    <t>07:38:34</t>
  </si>
  <si>
    <t>01:07:36</t>
  </si>
  <si>
    <t>16:14:09</t>
  </si>
  <si>
    <t>09:07:52</t>
  </si>
  <si>
    <t>20:24:13</t>
  </si>
  <si>
    <t>15:38:07</t>
  </si>
  <si>
    <t>13:48:26</t>
  </si>
  <si>
    <t>07:00:32</t>
  </si>
  <si>
    <t>13:15:51</t>
  </si>
  <si>
    <t>13:53:47</t>
  </si>
  <si>
    <t>21:18:20</t>
  </si>
  <si>
    <t>17:13:41</t>
  </si>
  <si>
    <t>23:09:43</t>
  </si>
  <si>
    <t>11:02:15</t>
  </si>
  <si>
    <t>00:56:16</t>
  </si>
  <si>
    <t>00:26:45</t>
  </si>
  <si>
    <t>06:56:06</t>
  </si>
  <si>
    <t>01:56:42</t>
  </si>
  <si>
    <t>10:01:40</t>
  </si>
  <si>
    <t>22:15:50</t>
  </si>
  <si>
    <t>06:23:31</t>
  </si>
  <si>
    <t>01:29:42</t>
  </si>
  <si>
    <t>10:10:26</t>
  </si>
  <si>
    <t>17:07:06</t>
  </si>
  <si>
    <t>02:45:47</t>
  </si>
  <si>
    <t>14:51:25</t>
  </si>
  <si>
    <t>06:09:27</t>
  </si>
  <si>
    <t>15:21:29</t>
  </si>
  <si>
    <t>09:59:33</t>
  </si>
  <si>
    <t>19:43:27</t>
  </si>
  <si>
    <t>04:57:03</t>
  </si>
  <si>
    <t>21:42:51</t>
  </si>
  <si>
    <t>22:28:20</t>
  </si>
  <si>
    <t>09:50:58</t>
  </si>
  <si>
    <t>16:26:05</t>
  </si>
  <si>
    <t>19:04:22</t>
  </si>
  <si>
    <t>11:54:49</t>
  </si>
  <si>
    <t>23:22:12</t>
  </si>
  <si>
    <t>16:45:09</t>
  </si>
  <si>
    <t>11:58:32</t>
  </si>
  <si>
    <t>11:16:12</t>
  </si>
  <si>
    <t>01:22:23</t>
  </si>
  <si>
    <t>23:08:52</t>
  </si>
  <si>
    <t>14:30:24</t>
  </si>
  <si>
    <t>04:39:06</t>
  </si>
  <si>
    <t>14:05:53</t>
  </si>
  <si>
    <t>21:00:20</t>
  </si>
  <si>
    <t>23:53:27</t>
  </si>
  <si>
    <t>11:45:52</t>
  </si>
  <si>
    <t>16:29:02</t>
  </si>
  <si>
    <t>11:25:35</t>
  </si>
  <si>
    <t>19:20:55</t>
  </si>
  <si>
    <t>19:14:57</t>
  </si>
  <si>
    <t>13:38:46</t>
  </si>
  <si>
    <t>23:51:56</t>
  </si>
  <si>
    <t>16:24:38</t>
  </si>
  <si>
    <t>01:21:39</t>
  </si>
  <si>
    <t>14:08:36</t>
  </si>
  <si>
    <t>15:41:07</t>
  </si>
  <si>
    <t>03:43:44</t>
  </si>
  <si>
    <t>21:20:28</t>
  </si>
  <si>
    <t>23:29:03</t>
  </si>
  <si>
    <t>10:17:52</t>
  </si>
  <si>
    <t>05:48:39</t>
  </si>
  <si>
    <t>11:48:40</t>
  </si>
  <si>
    <t>02:59:45</t>
  </si>
  <si>
    <t>02:22:56</t>
  </si>
  <si>
    <t>11:32:19</t>
  </si>
  <si>
    <t>16:27:25</t>
  </si>
  <si>
    <t>22:10:44</t>
  </si>
  <si>
    <t>04:56:51</t>
  </si>
  <si>
    <t>19:53:01</t>
  </si>
  <si>
    <t>06:57:51</t>
  </si>
  <si>
    <t>09:05:57</t>
  </si>
  <si>
    <t>08:21:37</t>
  </si>
  <si>
    <t>01:47:49</t>
  </si>
  <si>
    <t>19:16:06</t>
  </si>
  <si>
    <t>10:48:42</t>
  </si>
  <si>
    <t>11:54:10</t>
  </si>
  <si>
    <t>00:12:03</t>
  </si>
  <si>
    <t>09:34:31</t>
  </si>
  <si>
    <t>18:09:14</t>
  </si>
  <si>
    <t>22:23:04</t>
  </si>
  <si>
    <t>18:05:47</t>
  </si>
  <si>
    <t>10:43:13</t>
  </si>
  <si>
    <t>09:56:25</t>
  </si>
  <si>
    <t>06:44:34</t>
  </si>
  <si>
    <t>07:56:25</t>
  </si>
  <si>
    <t>04:56:02</t>
  </si>
  <si>
    <t>12:21:09</t>
  </si>
  <si>
    <t>05:22:25</t>
  </si>
  <si>
    <t>05:26:37</t>
  </si>
  <si>
    <t>06:56:11</t>
  </si>
  <si>
    <t>18:17:55</t>
  </si>
  <si>
    <t>15:55:56</t>
  </si>
  <si>
    <t>09:28:47</t>
  </si>
  <si>
    <t>06:37:23</t>
  </si>
  <si>
    <t>02:03:42</t>
  </si>
  <si>
    <t>10:39:26</t>
  </si>
  <si>
    <t>01:05:29</t>
  </si>
  <si>
    <t>00:35:18</t>
  </si>
  <si>
    <t>18:28:53</t>
  </si>
  <si>
    <t>12:21:43</t>
  </si>
  <si>
    <t>13:20:58</t>
  </si>
  <si>
    <t>13:20:38</t>
  </si>
  <si>
    <t>04:04:13</t>
  </si>
  <si>
    <t>00:33:10</t>
  </si>
  <si>
    <t>04:10:37</t>
  </si>
  <si>
    <t>16:30:13</t>
  </si>
  <si>
    <t>13:33:22</t>
  </si>
  <si>
    <t>08:04:55</t>
  </si>
  <si>
    <t>23:44:01</t>
  </si>
  <si>
    <t>00:28:50</t>
  </si>
  <si>
    <t>23:34:55</t>
  </si>
  <si>
    <t>22:37:23</t>
  </si>
  <si>
    <t>14:39:46</t>
  </si>
  <si>
    <t>04:23:57</t>
  </si>
  <si>
    <t>12:39:46</t>
  </si>
  <si>
    <t>17:38:42</t>
  </si>
  <si>
    <t>12:31:34</t>
  </si>
  <si>
    <t>23:02:25</t>
  </si>
  <si>
    <t>20:52:06</t>
  </si>
  <si>
    <t>20:49:10</t>
  </si>
  <si>
    <t>08:30:57</t>
  </si>
  <si>
    <t>17:20:58</t>
  </si>
  <si>
    <t>13:06:14</t>
  </si>
  <si>
    <t>18:31:17</t>
  </si>
  <si>
    <t>12:58:48</t>
  </si>
  <si>
    <t>13:05:17</t>
  </si>
  <si>
    <t>06:31:08</t>
  </si>
  <si>
    <t>00:16:22</t>
  </si>
  <si>
    <t>01:58:28</t>
  </si>
  <si>
    <t>10:47:50</t>
  </si>
  <si>
    <t>15:58:45</t>
  </si>
  <si>
    <t>23:19:19</t>
  </si>
  <si>
    <t>05:31:50</t>
  </si>
  <si>
    <t>23:33:34</t>
  </si>
  <si>
    <t>12:42:53</t>
  </si>
  <si>
    <t>16:11:48</t>
  </si>
  <si>
    <t>03:39:43</t>
  </si>
  <si>
    <t>20:08:57</t>
  </si>
  <si>
    <t>01:46:46</t>
  </si>
  <si>
    <t>07:56:46</t>
  </si>
  <si>
    <t>18:54:47</t>
  </si>
  <si>
    <t>10:45:58</t>
  </si>
  <si>
    <t>13:12:04</t>
  </si>
  <si>
    <t>09:03:16</t>
  </si>
  <si>
    <t>09:29:13</t>
  </si>
  <si>
    <t>05:46:18</t>
  </si>
  <si>
    <t>14:18:48</t>
  </si>
  <si>
    <t>17:01:58</t>
  </si>
  <si>
    <t>07:02:28</t>
  </si>
  <si>
    <t>22:38:31</t>
  </si>
  <si>
    <t>03:01:00</t>
  </si>
  <si>
    <t>18:29:46</t>
  </si>
  <si>
    <t>09:50:44</t>
  </si>
  <si>
    <t>08:01:14</t>
  </si>
  <si>
    <t>18:41:50</t>
  </si>
  <si>
    <t>15:48:50</t>
  </si>
  <si>
    <t>13:35:45</t>
  </si>
  <si>
    <t>02:58:17</t>
  </si>
  <si>
    <t>11:47:41</t>
  </si>
  <si>
    <t>22:31:13</t>
  </si>
  <si>
    <t>00:21:21</t>
  </si>
  <si>
    <t>16:03:33</t>
  </si>
  <si>
    <t>12:34:57</t>
  </si>
  <si>
    <t>18:04:09</t>
  </si>
  <si>
    <t>01:51:44</t>
  </si>
  <si>
    <t>09:53:18</t>
  </si>
  <si>
    <t>20:13:27</t>
  </si>
  <si>
    <t>23:12:23</t>
  </si>
  <si>
    <t>16:22:11</t>
  </si>
  <si>
    <t>09:03:23</t>
  </si>
  <si>
    <t>15:31:26</t>
  </si>
  <si>
    <t>03:23:26</t>
  </si>
  <si>
    <t>09:57:13</t>
  </si>
  <si>
    <t>22:40:50</t>
  </si>
  <si>
    <t>13:29:40</t>
  </si>
  <si>
    <t>09:11:07</t>
  </si>
  <si>
    <t>07:27:00</t>
  </si>
  <si>
    <t>02:19:52</t>
  </si>
  <si>
    <t>07:05:22</t>
  </si>
  <si>
    <t>00:06:39</t>
  </si>
  <si>
    <t>15:11:50</t>
  </si>
  <si>
    <t>08:01:11</t>
  </si>
  <si>
    <t>00:49:45</t>
  </si>
  <si>
    <t>19:22:50</t>
  </si>
  <si>
    <t>11:20:17</t>
  </si>
  <si>
    <t>05:28:25</t>
  </si>
  <si>
    <t>00:34:58</t>
  </si>
  <si>
    <t>12:42:34</t>
  </si>
  <si>
    <t>23:16:52</t>
  </si>
  <si>
    <t>10:41:25</t>
  </si>
  <si>
    <t>05:11:05</t>
  </si>
  <si>
    <t>12:50:53</t>
  </si>
  <si>
    <t>07:58:28</t>
  </si>
  <si>
    <t>23:41:13</t>
  </si>
  <si>
    <t>07:38:19</t>
  </si>
  <si>
    <t>15:52:42</t>
  </si>
  <si>
    <t>22:27:12</t>
  </si>
  <si>
    <t>12:35:14</t>
  </si>
  <si>
    <t>06:17:48</t>
  </si>
  <si>
    <t>16:40:47</t>
  </si>
  <si>
    <t>19:19:52</t>
  </si>
  <si>
    <t>12:59:43</t>
  </si>
  <si>
    <t>02:21:23</t>
  </si>
  <si>
    <t>03:55:32</t>
  </si>
  <si>
    <t>10:14:17</t>
  </si>
  <si>
    <t>15:27:26</t>
  </si>
  <si>
    <t>17:06:11</t>
  </si>
  <si>
    <t>10:15:00</t>
  </si>
  <si>
    <t>07:39:38</t>
  </si>
  <si>
    <t>14:02:18</t>
  </si>
  <si>
    <t>20:45:00</t>
  </si>
  <si>
    <t>05:26:03</t>
  </si>
  <si>
    <t>08:22:44</t>
  </si>
  <si>
    <t>11:28:09</t>
  </si>
  <si>
    <t>22:44:53</t>
  </si>
  <si>
    <t>22:07:13</t>
  </si>
  <si>
    <t>11:30:05</t>
  </si>
  <si>
    <t>01:30:58</t>
  </si>
  <si>
    <t>08:42:57</t>
  </si>
  <si>
    <t>03:42:23</t>
  </si>
  <si>
    <t>08:40:53</t>
  </si>
  <si>
    <t>19:01:55</t>
  </si>
  <si>
    <t>02:01:44</t>
  </si>
  <si>
    <t>04:01:49</t>
  </si>
  <si>
    <t>15:40:22</t>
  </si>
  <si>
    <t>09:49:51</t>
  </si>
  <si>
    <t>17:57:56</t>
  </si>
  <si>
    <t>18:13:08</t>
  </si>
  <si>
    <t>02:14:28</t>
  </si>
  <si>
    <t>16:13:35</t>
  </si>
  <si>
    <t>16:28:56</t>
  </si>
  <si>
    <t>04:23:25</t>
  </si>
  <si>
    <t>17:32:38</t>
  </si>
  <si>
    <t>20:00:01</t>
  </si>
  <si>
    <t>23:36:21</t>
  </si>
  <si>
    <t>12:31:00</t>
  </si>
  <si>
    <t>19:17:45</t>
  </si>
  <si>
    <t>16:06:37</t>
  </si>
  <si>
    <t>19:56:33</t>
  </si>
  <si>
    <t>02:05:20</t>
  </si>
  <si>
    <t>16:59:14</t>
  </si>
  <si>
    <t>00:56:01</t>
  </si>
  <si>
    <t>13:27:06</t>
  </si>
  <si>
    <t>02:51:48</t>
  </si>
  <si>
    <t>06:31:20</t>
  </si>
  <si>
    <t>20:10:50</t>
  </si>
  <si>
    <t>05:13:28</t>
  </si>
  <si>
    <t>19:39:57</t>
  </si>
  <si>
    <t>08:00:35</t>
  </si>
  <si>
    <t>20:14:00</t>
  </si>
  <si>
    <t>05:02:16</t>
  </si>
  <si>
    <t>15:13:07</t>
  </si>
  <si>
    <t>07:40:09</t>
  </si>
  <si>
    <t>23:00:06</t>
  </si>
  <si>
    <t>13:36:46</t>
  </si>
  <si>
    <t>02:00:46</t>
  </si>
  <si>
    <t>10:20:47</t>
  </si>
  <si>
    <t>14:41:40</t>
  </si>
  <si>
    <t>06:29:31</t>
  </si>
  <si>
    <t>02:17:23</t>
  </si>
  <si>
    <t>23:23:19</t>
  </si>
  <si>
    <t>04:39:51</t>
  </si>
  <si>
    <t>13:29:05</t>
  </si>
  <si>
    <t>09:33:25</t>
  </si>
  <si>
    <t>19:58:19</t>
  </si>
  <si>
    <t>01:46:13</t>
  </si>
  <si>
    <t>05:33:08</t>
  </si>
  <si>
    <t>09:33:08</t>
  </si>
  <si>
    <t>09:19:40</t>
  </si>
  <si>
    <t>09:07:45</t>
  </si>
  <si>
    <t>06:40:47</t>
  </si>
  <si>
    <t>21:07:49</t>
  </si>
  <si>
    <t>22:26:18</t>
  </si>
  <si>
    <t>06:39:28</t>
  </si>
  <si>
    <t>20:53:18</t>
  </si>
  <si>
    <t>12:32:31</t>
  </si>
  <si>
    <t>01:52:14</t>
  </si>
  <si>
    <t>17:18:51</t>
  </si>
  <si>
    <t>01:13:09</t>
  </si>
  <si>
    <t>23:25:32</t>
  </si>
  <si>
    <t>03:13:08</t>
  </si>
  <si>
    <t>10:35:02</t>
  </si>
  <si>
    <t>07:09:27</t>
  </si>
  <si>
    <t>03:08:53</t>
  </si>
  <si>
    <t>22:23:18</t>
  </si>
  <si>
    <t>14:16:59</t>
  </si>
  <si>
    <t>13:26:32</t>
  </si>
  <si>
    <t>23:05:05</t>
  </si>
  <si>
    <t>15:17:48</t>
  </si>
  <si>
    <t>19:28:55</t>
  </si>
  <si>
    <t>08:45:35</t>
  </si>
  <si>
    <t>10:06:44</t>
  </si>
  <si>
    <t>17:52:11</t>
  </si>
  <si>
    <t>12:54:21</t>
  </si>
  <si>
    <t>21:20:42</t>
  </si>
  <si>
    <t>12:35:16</t>
  </si>
  <si>
    <t>16:05:07</t>
  </si>
  <si>
    <t>23:59:41</t>
  </si>
  <si>
    <t>19:20:26</t>
  </si>
  <si>
    <t>08:44:22</t>
  </si>
  <si>
    <t>21:12:03</t>
  </si>
  <si>
    <t>11:21:30</t>
  </si>
  <si>
    <t>23:12:16</t>
  </si>
  <si>
    <t>07:20:39</t>
  </si>
  <si>
    <t>02:07:12</t>
  </si>
  <si>
    <t>14:14:53</t>
  </si>
  <si>
    <t>04:38:50</t>
  </si>
  <si>
    <t>18:15:03</t>
  </si>
  <si>
    <t>10:39:52</t>
  </si>
  <si>
    <t>13:27:30</t>
  </si>
  <si>
    <t>17:37:51</t>
  </si>
  <si>
    <t>04:02:49</t>
  </si>
  <si>
    <t>06:32:27</t>
  </si>
  <si>
    <t>00:10:27</t>
  </si>
  <si>
    <t>15:08:52</t>
  </si>
  <si>
    <t>00:48:16</t>
  </si>
  <si>
    <t>11:06:01</t>
  </si>
  <si>
    <t>00:48:55</t>
  </si>
  <si>
    <t>06:40:28</t>
  </si>
  <si>
    <t>00:38:35</t>
  </si>
  <si>
    <t>06:30:50</t>
  </si>
  <si>
    <t>03:34:04</t>
  </si>
  <si>
    <t>06:30:27</t>
  </si>
  <si>
    <t>19:25:43</t>
  </si>
  <si>
    <t>08:13:41</t>
  </si>
  <si>
    <t>16:20:46</t>
  </si>
  <si>
    <t>15:09:01</t>
  </si>
  <si>
    <t>03:55:26</t>
  </si>
  <si>
    <t>21:24:42</t>
  </si>
  <si>
    <t>04:48:38</t>
  </si>
  <si>
    <t>02:03:44</t>
  </si>
  <si>
    <t>08:36:13</t>
  </si>
  <si>
    <t>23:31:23</t>
  </si>
  <si>
    <t>09:28:52</t>
  </si>
  <si>
    <t>07:58:32</t>
  </si>
  <si>
    <t>12:11:43</t>
  </si>
  <si>
    <t>08:40:48</t>
  </si>
  <si>
    <t>04:54:21</t>
  </si>
  <si>
    <t>22:30:31</t>
  </si>
  <si>
    <t>14:43:30</t>
  </si>
  <si>
    <t>15:06:55</t>
  </si>
  <si>
    <t>05:18:08</t>
  </si>
  <si>
    <t>14:57:01</t>
  </si>
  <si>
    <t>13:28:57</t>
  </si>
  <si>
    <t>06:03:03</t>
  </si>
  <si>
    <t>10:01:43</t>
  </si>
  <si>
    <t>04:45:34</t>
  </si>
  <si>
    <t>03:46:12</t>
  </si>
  <si>
    <t>21:10:12</t>
  </si>
  <si>
    <t>01:58:20</t>
  </si>
  <si>
    <t>07:06:38</t>
  </si>
  <si>
    <t>00:33:32</t>
  </si>
  <si>
    <t>13:50:58</t>
  </si>
  <si>
    <t>01:46:40</t>
  </si>
  <si>
    <t>06:09:19</t>
  </si>
  <si>
    <t>16:40:55</t>
  </si>
  <si>
    <t>03:50:06</t>
  </si>
  <si>
    <t>15:41:25</t>
  </si>
  <si>
    <t>17:28:07</t>
  </si>
  <si>
    <t>02:24:54</t>
  </si>
  <si>
    <t>13:52:42</t>
  </si>
  <si>
    <t>04:47:20</t>
  </si>
  <si>
    <t>02:44:11</t>
  </si>
  <si>
    <t>12:59:30</t>
  </si>
  <si>
    <t>09:20:03</t>
  </si>
  <si>
    <t>01:57:29</t>
  </si>
  <si>
    <t>02:03:57</t>
  </si>
  <si>
    <t>05:04:36</t>
  </si>
  <si>
    <t>05:45:33</t>
  </si>
  <si>
    <t>16:27:41</t>
  </si>
  <si>
    <t>04:21:49</t>
  </si>
  <si>
    <t>19:33:15</t>
  </si>
  <si>
    <t>11:44:11</t>
  </si>
  <si>
    <t>08:42:42</t>
  </si>
  <si>
    <t>03:38:41</t>
  </si>
  <si>
    <t>13:55:34</t>
  </si>
  <si>
    <t>02:15:04</t>
  </si>
  <si>
    <t>23:38:57</t>
  </si>
  <si>
    <t>12:41:59</t>
  </si>
  <si>
    <t>19:23:44</t>
  </si>
  <si>
    <t>00:18:32</t>
  </si>
  <si>
    <t>05:48:22</t>
  </si>
  <si>
    <t>21:18:46</t>
  </si>
  <si>
    <t>09:06:18</t>
  </si>
  <si>
    <t>05:09:35</t>
  </si>
  <si>
    <t>16:09:18</t>
  </si>
  <si>
    <t>06:00:22</t>
  </si>
  <si>
    <t>15:51:15</t>
  </si>
  <si>
    <t>01:05:53</t>
  </si>
  <si>
    <t>14:31:29</t>
  </si>
  <si>
    <t>07:21:52</t>
  </si>
  <si>
    <t>01:24:34</t>
  </si>
  <si>
    <t>09:31:36</t>
  </si>
  <si>
    <t>18:16:24</t>
  </si>
  <si>
    <t>09:32:58</t>
  </si>
  <si>
    <t>17:45:57</t>
  </si>
  <si>
    <t>19:29:03</t>
  </si>
  <si>
    <t>14:00:57</t>
  </si>
  <si>
    <t>01:06:14</t>
  </si>
  <si>
    <t>07:46:17</t>
  </si>
  <si>
    <t>03:53:13</t>
  </si>
  <si>
    <t>07:01:18</t>
  </si>
  <si>
    <t>03:31:58</t>
  </si>
  <si>
    <t>09:42:50</t>
  </si>
  <si>
    <t>09:34:23</t>
  </si>
  <si>
    <t>04:52:06</t>
  </si>
  <si>
    <t>06:42:40</t>
  </si>
  <si>
    <t>01:31:23</t>
  </si>
  <si>
    <t>02:58:16</t>
  </si>
  <si>
    <t>03:32:40</t>
  </si>
  <si>
    <t>16:13:49</t>
  </si>
  <si>
    <t>06:25:35</t>
  </si>
  <si>
    <t>00:24:54</t>
  </si>
  <si>
    <t>02:32:24</t>
  </si>
  <si>
    <t>06:07:50</t>
  </si>
  <si>
    <t>17:07:47</t>
  </si>
  <si>
    <t>05:55:32</t>
  </si>
  <si>
    <t>FLAT8</t>
  </si>
  <si>
    <t>Estimated_Days_to_Deliver</t>
  </si>
  <si>
    <t>Customer KPIs</t>
  </si>
  <si>
    <t>Product KPIs</t>
  </si>
  <si>
    <t>Sales KPI</t>
  </si>
  <si>
    <t>Order and Delivery KPIs</t>
  </si>
  <si>
    <t>Row Labels</t>
  </si>
  <si>
    <t>Grand Total</t>
  </si>
  <si>
    <t>Count of Customer_ID</t>
  </si>
  <si>
    <t>Count of Order_ID</t>
  </si>
  <si>
    <t>Amount</t>
  </si>
  <si>
    <t>Days_of_Delivery</t>
  </si>
  <si>
    <t>1. Total Unique Customer</t>
  </si>
  <si>
    <t>Formula1</t>
  </si>
  <si>
    <t>1. Find total unique products</t>
  </si>
  <si>
    <t>2. Most ordered product</t>
  </si>
  <si>
    <t>3.  Product which generated highest revenue</t>
  </si>
  <si>
    <t>1. Sum of Total Sales generated</t>
  </si>
  <si>
    <t xml:space="preserve">Amount_with_Del_Chrg </t>
  </si>
  <si>
    <t>Discount_Percent</t>
  </si>
  <si>
    <t>Final_Amount</t>
  </si>
  <si>
    <t>Full_Name</t>
  </si>
  <si>
    <t xml:space="preserve"> IsLateDelivery</t>
  </si>
  <si>
    <t>Sum of Final_Amount</t>
  </si>
  <si>
    <t>2. Sum Total Discount offered</t>
  </si>
  <si>
    <t>4. Avg Sales(exclduing discount)</t>
  </si>
  <si>
    <t>Discount_Amount</t>
  </si>
  <si>
    <t>(Pivot_Table)</t>
  </si>
  <si>
    <t>2023</t>
  </si>
  <si>
    <t>Feb</t>
  </si>
  <si>
    <t>Mar</t>
  </si>
  <si>
    <t>Apr</t>
  </si>
  <si>
    <t>May</t>
  </si>
  <si>
    <t>Jun</t>
  </si>
  <si>
    <t>Jul</t>
  </si>
  <si>
    <t>Aug</t>
  </si>
  <si>
    <t>Sep</t>
  </si>
  <si>
    <t>Oct</t>
  </si>
  <si>
    <t>Nov</t>
  </si>
  <si>
    <t>Dec</t>
  </si>
  <si>
    <t>2024</t>
  </si>
  <si>
    <t>Jan</t>
  </si>
  <si>
    <t>2025</t>
  </si>
  <si>
    <t>Before Time</t>
  </si>
  <si>
    <t>Intime</t>
  </si>
  <si>
    <t>Late</t>
  </si>
  <si>
    <t>Count of IsLateDelivery</t>
  </si>
  <si>
    <t>Sum of Discount_Amount</t>
  </si>
  <si>
    <t>3. Avg Sales after Discount</t>
  </si>
  <si>
    <t>1.  Average Days to Deliver</t>
  </si>
  <si>
    <t>2. Total Orders</t>
  </si>
  <si>
    <t>5. Revenue Realization (Avg Sales after Discount/Avg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</si>
</sst>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 &quot;₹&quot;\ * #,##0.00_ ;_ &quot;₹&quot;\ * \-#,##0.00_ ;_ &quot;₹&quot;\ * &quot;-&quot;??_ ;_ @_ "/>
    <numFmt numFmtId="164" formatCode="yyyy\-mm\-dd"/>
  </numFmts>
  <fonts count="3" x14ac:knownFonts="1">
    <font>
      <sz val="11"/>
      <color theme="1"/>
      <name val="Calibri"/>
      <family val="2"/>
      <scheme val="minor"/>
    </font>
    <font>
      <b/>
      <sz val="11"/>
      <color theme="1"/>
      <name val="Calibri"/>
      <family val="2"/>
      <scheme val="minor"/>
    </font>
    <font>
      <sz val="11"/>
      <color theme="1"/>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39997558519241921"/>
        <bgColor indexed="64"/>
      </patternFill>
    </fill>
    <fill>
      <patternFill patternType="solid">
        <fgColor theme="4" tint="0.79998168889431442"/>
        <bgColor theme="4" tint="0.79998168889431442"/>
      </patternFill>
    </fill>
    <fill>
      <patternFill patternType="solid">
        <fgColor theme="0" tint="-0.14999847407452621"/>
        <bgColor indexed="64"/>
      </patternFill>
    </fill>
  </fills>
  <borders count="7">
    <border>
      <left/>
      <right/>
      <top/>
      <bottom/>
      <diagonal/>
    </border>
    <border>
      <left style="thin">
        <color theme="4"/>
      </left>
      <right/>
      <top style="thin">
        <color auto="1"/>
      </top>
      <bottom/>
      <diagonal/>
    </border>
    <border>
      <left style="thin">
        <color theme="4"/>
      </left>
      <right style="thin">
        <color theme="4"/>
      </right>
      <top style="thin">
        <color auto="1"/>
      </top>
      <bottom/>
      <diagonal/>
    </border>
    <border>
      <left style="thin">
        <color theme="4"/>
      </left>
      <right/>
      <top style="thin">
        <color theme="4"/>
      </top>
      <bottom/>
      <diagonal/>
    </border>
    <border>
      <left style="thin">
        <color theme="4"/>
      </left>
      <right style="thin">
        <color theme="4"/>
      </right>
      <top style="thin">
        <color theme="4"/>
      </top>
      <bottom/>
      <diagonal/>
    </border>
    <border>
      <left style="thin">
        <color auto="1"/>
      </left>
      <right/>
      <top/>
      <bottom/>
      <diagonal/>
    </border>
    <border>
      <left style="thin">
        <color auto="1"/>
      </left>
      <right style="thin">
        <color auto="1"/>
      </right>
      <top/>
      <bottom/>
      <diagonal/>
    </border>
  </borders>
  <cellStyleXfs count="2">
    <xf numFmtId="0" fontId="0" fillId="0" borderId="0"/>
    <xf numFmtId="44" fontId="2" fillId="0" borderId="0" applyFont="0" applyFill="0" applyBorder="0" applyAlignment="0" applyProtection="0"/>
  </cellStyleXfs>
  <cellXfs count="24">
    <xf numFmtId="0" fontId="0" fillId="0" borderId="0" xfId="0"/>
    <xf numFmtId="0" fontId="1" fillId="0" borderId="0" xfId="0" applyFont="1"/>
    <xf numFmtId="0" fontId="0" fillId="0" borderId="0" xfId="0" pivotButton="1"/>
    <xf numFmtId="0" fontId="0" fillId="0" borderId="0" xfId="0" applyAlignment="1">
      <alignment horizontal="left"/>
    </xf>
    <xf numFmtId="0" fontId="1" fillId="3" borderId="0" xfId="0" applyFont="1" applyFill="1"/>
    <xf numFmtId="0" fontId="0" fillId="3" borderId="0" xfId="0" applyFill="1"/>
    <xf numFmtId="0" fontId="1" fillId="3" borderId="0" xfId="0" applyFont="1" applyFill="1" applyAlignment="1">
      <alignment horizontal="left"/>
    </xf>
    <xf numFmtId="0" fontId="0" fillId="0" borderId="0" xfId="0" applyAlignment="1">
      <alignment horizontal="left" indent="1"/>
    </xf>
    <xf numFmtId="0" fontId="0" fillId="4" borderId="1" xfId="0" applyFill="1" applyBorder="1"/>
    <xf numFmtId="164" fontId="0" fillId="4" borderId="1" xfId="0" applyNumberFormat="1" applyFill="1" applyBorder="1"/>
    <xf numFmtId="0" fontId="0" fillId="4" borderId="2" xfId="0" applyFill="1" applyBorder="1"/>
    <xf numFmtId="0" fontId="0" fillId="0" borderId="3" xfId="0" applyBorder="1"/>
    <xf numFmtId="164" fontId="0" fillId="0" borderId="3" xfId="0" applyNumberFormat="1" applyBorder="1"/>
    <xf numFmtId="0" fontId="0" fillId="0" borderId="4" xfId="0" applyBorder="1"/>
    <xf numFmtId="0" fontId="0" fillId="4" borderId="3" xfId="0" applyFill="1" applyBorder="1"/>
    <xf numFmtId="164" fontId="0" fillId="4" borderId="3" xfId="0" applyNumberFormat="1" applyFill="1" applyBorder="1"/>
    <xf numFmtId="0" fontId="0" fillId="4" borderId="4" xfId="0" applyFill="1" applyBorder="1"/>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0" fillId="0" borderId="0" xfId="0" quotePrefix="1"/>
    <xf numFmtId="0" fontId="0" fillId="5" borderId="0" xfId="0" applyFill="1"/>
    <xf numFmtId="3" fontId="0" fillId="0" borderId="0" xfId="1" applyNumberFormat="1" applyFont="1"/>
    <xf numFmtId="3" fontId="0" fillId="0" borderId="0" xfId="0" applyNumberFormat="1"/>
    <xf numFmtId="0" fontId="1" fillId="3" borderId="0" xfId="0" applyFont="1" applyFill="1" applyAlignment="1">
      <alignment horizontal="left"/>
    </xf>
  </cellXfs>
  <cellStyles count="2">
    <cellStyle name="Currency" xfId="1" builtinId="4"/>
    <cellStyle name="Normal" xfId="0" builtinId="0"/>
  </cellStyles>
  <dxfs count="30">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numFmt numFmtId="164" formatCode="yyyy\-mm\-dd"/>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numFmt numFmtId="164" formatCode="yyyy\-mm\-dd"/>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style="thin">
          <color theme="4"/>
        </top>
        <bottom/>
        <vertical/>
        <horizontal/>
      </border>
    </dxf>
    <dxf>
      <border outline="0">
        <top style="thin">
          <color auto="1"/>
        </top>
        <bottom style="thin">
          <color theme="4"/>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center" vertical="top" textRotation="0" wrapText="0" indent="0" justifyLastLine="0" shrinkToFit="0" readingOrder="0"/>
      <border diagonalUp="0" diagonalDown="0" outline="0">
        <left style="thin">
          <color auto="1"/>
        </left>
        <right style="thin">
          <color auto="1"/>
        </right>
        <top/>
        <bottom/>
      </border>
    </dxf>
  </dxfs>
  <tableStyles count="1" defaultTableStyle="TableStyleMedium9" defaultPivotStyle="PivotStyleLight16">
    <tableStyle name="Table Style 1" pivot="0" count="0" xr9:uid="{20B9EE06-8A0C-44A1-B542-36A7756C4DC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microsoft.com/office/2007/relationships/slicerCache" Target="slicerCaches/slicerCache4.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3.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Dashboard File.xlsx]Pivot_Table!PivotTable14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and Discount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27000">
              <a:schemeClr val="bg1"/>
            </a:glow>
            <a:outerShdw blurRad="50800" dist="50800" dir="5400000" algn="ctr" rotWithShape="0">
              <a:schemeClr val="bg1"/>
            </a:outerShdw>
          </a:effectLst>
        </c:spPr>
        <c:marker>
          <c:symbol val="circle"/>
          <c:size val="5"/>
          <c:spPr>
            <a:solidFill>
              <a:schemeClr val="accent1"/>
            </a:solidFill>
            <a:ln w="9525">
              <a:solidFill>
                <a:schemeClr val="accent1"/>
              </a:solidFill>
            </a:ln>
            <a:effectLst>
              <a:glow rad="127000">
                <a:schemeClr val="bg1"/>
              </a:glow>
              <a:outerShdw blurRad="50800" dist="50800" dir="5400000" algn="ctr" rotWithShape="0">
                <a:schemeClr val="bg1"/>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Pivot_Table!$K$10</c:f>
              <c:strCache>
                <c:ptCount val="1"/>
                <c:pt idx="0">
                  <c:v>Sum of Final_Amount</c:v>
                </c:pt>
              </c:strCache>
            </c:strRef>
          </c:tx>
          <c:spPr>
            <a:ln w="28575" cap="rnd">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27000">
                <a:schemeClr val="bg1"/>
              </a:glow>
              <a:outerShdw blurRad="50800" dist="50800" dir="5400000" algn="ctr" rotWithShape="0">
                <a:schemeClr val="bg1"/>
              </a:outerShdw>
            </a:effectLst>
          </c:spPr>
          <c:marker>
            <c:symbol val="circle"/>
            <c:size val="5"/>
            <c:spPr>
              <a:solidFill>
                <a:schemeClr val="accent1"/>
              </a:solidFill>
              <a:ln w="9525">
                <a:solidFill>
                  <a:schemeClr val="accent1"/>
                </a:solidFill>
              </a:ln>
              <a:effectLst>
                <a:glow rad="127000">
                  <a:schemeClr val="bg1"/>
                </a:glow>
                <a:outerShdw blurRad="50800" dist="50800" dir="5400000" algn="ctr" rotWithShape="0">
                  <a:schemeClr val="bg1"/>
                </a:outerShdw>
              </a:effectLst>
            </c:spPr>
          </c:marker>
          <c:cat>
            <c:multiLvlStrRef>
              <c:f>Pivot_Table!$J$11:$J$39</c:f>
              <c:multiLvlStrCache>
                <c:ptCount val="25"/>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lvl>
                <c:lvl>
                  <c:pt idx="0">
                    <c:v>2023</c:v>
                  </c:pt>
                  <c:pt idx="11">
                    <c:v>2024</c:v>
                  </c:pt>
                  <c:pt idx="23">
                    <c:v>2025</c:v>
                  </c:pt>
                </c:lvl>
              </c:multiLvlStrCache>
            </c:multiLvlStrRef>
          </c:cat>
          <c:val>
            <c:numRef>
              <c:f>Pivot_Table!$K$11:$K$39</c:f>
              <c:numCache>
                <c:formatCode>General</c:formatCode>
                <c:ptCount val="25"/>
                <c:pt idx="0">
                  <c:v>8783.5454000000009</c:v>
                </c:pt>
                <c:pt idx="1">
                  <c:v>11733.3536</c:v>
                </c:pt>
                <c:pt idx="2">
                  <c:v>14770.2255</c:v>
                </c:pt>
                <c:pt idx="3">
                  <c:v>9441.7083999999995</c:v>
                </c:pt>
                <c:pt idx="4">
                  <c:v>14038.601199999999</c:v>
                </c:pt>
                <c:pt idx="5">
                  <c:v>20648.915799999999</c:v>
                </c:pt>
                <c:pt idx="6">
                  <c:v>10110.4611</c:v>
                </c:pt>
                <c:pt idx="7">
                  <c:v>13512.489900000004</c:v>
                </c:pt>
                <c:pt idx="8">
                  <c:v>11388.179399999999</c:v>
                </c:pt>
                <c:pt idx="9">
                  <c:v>13362.000399999999</c:v>
                </c:pt>
                <c:pt idx="10">
                  <c:v>11120.312600000001</c:v>
                </c:pt>
                <c:pt idx="11">
                  <c:v>11596.541099999999</c:v>
                </c:pt>
                <c:pt idx="12">
                  <c:v>14705.427000000001</c:v>
                </c:pt>
                <c:pt idx="13">
                  <c:v>15046.517899999999</c:v>
                </c:pt>
                <c:pt idx="14">
                  <c:v>23529.980899999999</c:v>
                </c:pt>
                <c:pt idx="15">
                  <c:v>13201.906399999998</c:v>
                </c:pt>
                <c:pt idx="16">
                  <c:v>17097.457699999999</c:v>
                </c:pt>
                <c:pt idx="17">
                  <c:v>17679.620400000003</c:v>
                </c:pt>
                <c:pt idx="18">
                  <c:v>17493.804900000003</c:v>
                </c:pt>
                <c:pt idx="19">
                  <c:v>12338.596700000002</c:v>
                </c:pt>
                <c:pt idx="20">
                  <c:v>14489.9252</c:v>
                </c:pt>
                <c:pt idx="21">
                  <c:v>12959.908800000003</c:v>
                </c:pt>
                <c:pt idx="22">
                  <c:v>14392.4344</c:v>
                </c:pt>
                <c:pt idx="23">
                  <c:v>19508.373</c:v>
                </c:pt>
                <c:pt idx="24">
                  <c:v>1515.2920000000001</c:v>
                </c:pt>
              </c:numCache>
            </c:numRef>
          </c:val>
          <c:smooth val="0"/>
          <c:extLst>
            <c:ext xmlns:c16="http://schemas.microsoft.com/office/drawing/2014/chart" uri="{C3380CC4-5D6E-409C-BE32-E72D297353CC}">
              <c16:uniqueId val="{00000000-186D-419C-9172-387180CBB370}"/>
            </c:ext>
          </c:extLst>
        </c:ser>
        <c:ser>
          <c:idx val="1"/>
          <c:order val="1"/>
          <c:tx>
            <c:strRef>
              <c:f>Pivot_Table!$L$10</c:f>
              <c:strCache>
                <c:ptCount val="1"/>
                <c:pt idx="0">
                  <c:v>Sum of Discount_Amount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Pivot_Table!$J$11:$J$39</c:f>
              <c:multiLvlStrCache>
                <c:ptCount val="25"/>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lvl>
                <c:lvl>
                  <c:pt idx="0">
                    <c:v>2023</c:v>
                  </c:pt>
                  <c:pt idx="11">
                    <c:v>2024</c:v>
                  </c:pt>
                  <c:pt idx="23">
                    <c:v>2025</c:v>
                  </c:pt>
                </c:lvl>
              </c:multiLvlStrCache>
            </c:multiLvlStrRef>
          </c:cat>
          <c:val>
            <c:numRef>
              <c:f>Pivot_Table!$L$11:$L$39</c:f>
              <c:numCache>
                <c:formatCode>General</c:formatCode>
                <c:ptCount val="25"/>
                <c:pt idx="0">
                  <c:v>1406.4845999999998</c:v>
                </c:pt>
                <c:pt idx="1">
                  <c:v>1560.8363999999997</c:v>
                </c:pt>
                <c:pt idx="2">
                  <c:v>2203.6244999999999</c:v>
                </c:pt>
                <c:pt idx="3">
                  <c:v>1248.9615999999999</c:v>
                </c:pt>
                <c:pt idx="4">
                  <c:v>1805.1387999999999</c:v>
                </c:pt>
                <c:pt idx="5">
                  <c:v>2769.1741999999995</c:v>
                </c:pt>
                <c:pt idx="6">
                  <c:v>1432.9688999999996</c:v>
                </c:pt>
                <c:pt idx="7">
                  <c:v>1998.6800999999998</c:v>
                </c:pt>
                <c:pt idx="8">
                  <c:v>1407.3606</c:v>
                </c:pt>
                <c:pt idx="9">
                  <c:v>1488.2895999999996</c:v>
                </c:pt>
                <c:pt idx="10">
                  <c:v>1677.9573999999998</c:v>
                </c:pt>
                <c:pt idx="11">
                  <c:v>1630.0389000000002</c:v>
                </c:pt>
                <c:pt idx="12">
                  <c:v>1607.0329999999999</c:v>
                </c:pt>
                <c:pt idx="13">
                  <c:v>1776.3620999999998</c:v>
                </c:pt>
                <c:pt idx="14">
                  <c:v>2842.1090999999992</c:v>
                </c:pt>
                <c:pt idx="15">
                  <c:v>1374.3235999999997</c:v>
                </c:pt>
                <c:pt idx="16">
                  <c:v>2194.8422999999993</c:v>
                </c:pt>
                <c:pt idx="17">
                  <c:v>1771.5395999999996</c:v>
                </c:pt>
                <c:pt idx="18">
                  <c:v>2461.5050999999999</c:v>
                </c:pt>
                <c:pt idx="19">
                  <c:v>2285.4632999999999</c:v>
                </c:pt>
                <c:pt idx="20">
                  <c:v>2106.4347999999995</c:v>
                </c:pt>
                <c:pt idx="21">
                  <c:v>1480.2711999999997</c:v>
                </c:pt>
                <c:pt idx="22">
                  <c:v>1894.6556</c:v>
                </c:pt>
                <c:pt idx="23">
                  <c:v>3200.107</c:v>
                </c:pt>
                <c:pt idx="24">
                  <c:v>322.74799999999993</c:v>
                </c:pt>
              </c:numCache>
            </c:numRef>
          </c:val>
          <c:smooth val="0"/>
          <c:extLst>
            <c:ext xmlns:c16="http://schemas.microsoft.com/office/drawing/2014/chart" uri="{C3380CC4-5D6E-409C-BE32-E72D297353CC}">
              <c16:uniqueId val="{00000001-186D-419C-9172-387180CBB370}"/>
            </c:ext>
          </c:extLst>
        </c:ser>
        <c:dLbls>
          <c:showLegendKey val="0"/>
          <c:showVal val="0"/>
          <c:showCatName val="0"/>
          <c:showSerName val="0"/>
          <c:showPercent val="0"/>
          <c:showBubbleSize val="0"/>
        </c:dLbls>
        <c:marker val="1"/>
        <c:smooth val="0"/>
        <c:axId val="650916287"/>
        <c:axId val="650915327"/>
      </c:lineChart>
      <c:catAx>
        <c:axId val="65091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915327"/>
        <c:crosses val="autoZero"/>
        <c:auto val="1"/>
        <c:lblAlgn val="ctr"/>
        <c:lblOffset val="100"/>
        <c:noMultiLvlLbl val="0"/>
      </c:catAx>
      <c:valAx>
        <c:axId val="650915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916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Dashboard File.xlsx]Pivot_Table!PivotTable8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High</a:t>
            </a:r>
            <a:r>
              <a:rPr lang="en-US" baseline="0"/>
              <a:t> Value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38000">
                <a:srgbClr val="FFC000"/>
              </a:gs>
              <a:gs pos="60500">
                <a:srgbClr val="FFE000"/>
              </a:gs>
              <a:gs pos="83000">
                <a:srgbClr val="FFFF00"/>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38000">
                <a:srgbClr val="FFC000"/>
              </a:gs>
              <a:gs pos="60500">
                <a:srgbClr val="FFE000"/>
              </a:gs>
              <a:gs pos="83000">
                <a:srgbClr val="FFFF00"/>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38000">
                <a:srgbClr val="FFC000"/>
              </a:gs>
              <a:gs pos="60500">
                <a:srgbClr val="FFE000"/>
              </a:gs>
              <a:gs pos="83000">
                <a:srgbClr val="FFFF00"/>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78914269379698E-2"/>
          <c:y val="0.23327044025157231"/>
          <c:w val="0.82086310993304057"/>
          <c:h val="0.6975471698113207"/>
        </c:manualLayout>
      </c:layout>
      <c:barChart>
        <c:barDir val="bar"/>
        <c:grouping val="clustered"/>
        <c:varyColors val="0"/>
        <c:ser>
          <c:idx val="0"/>
          <c:order val="0"/>
          <c:tx>
            <c:strRef>
              <c:f>Pivot_Table!$G$8</c:f>
              <c:strCache>
                <c:ptCount val="1"/>
                <c:pt idx="0">
                  <c:v>Total</c:v>
                </c:pt>
              </c:strCache>
            </c:strRef>
          </c:tx>
          <c:spPr>
            <a:gradFill>
              <a:gsLst>
                <a:gs pos="38000">
                  <a:srgbClr val="FFC000"/>
                </a:gs>
                <a:gs pos="60500">
                  <a:srgbClr val="FFE000"/>
                </a:gs>
                <a:gs pos="83000">
                  <a:srgbClr val="FFFF00"/>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Pivot_Table!$F$9:$F$12</c:f>
              <c:strCache>
                <c:ptCount val="3"/>
                <c:pt idx="0">
                  <c:v>CID174</c:v>
                </c:pt>
                <c:pt idx="1">
                  <c:v>CID114</c:v>
                </c:pt>
                <c:pt idx="2">
                  <c:v>CID162</c:v>
                </c:pt>
              </c:strCache>
            </c:strRef>
          </c:cat>
          <c:val>
            <c:numRef>
              <c:f>Pivot_Table!$G$9:$G$12</c:f>
              <c:numCache>
                <c:formatCode>General</c:formatCode>
                <c:ptCount val="3"/>
                <c:pt idx="0">
                  <c:v>13002.118899999999</c:v>
                </c:pt>
                <c:pt idx="1">
                  <c:v>8172.0982999999997</c:v>
                </c:pt>
                <c:pt idx="2">
                  <c:v>7832.8487000000005</c:v>
                </c:pt>
              </c:numCache>
            </c:numRef>
          </c:val>
          <c:extLst>
            <c:ext xmlns:c16="http://schemas.microsoft.com/office/drawing/2014/chart" uri="{C3380CC4-5D6E-409C-BE32-E72D297353CC}">
              <c16:uniqueId val="{00000000-4349-4ACA-9307-1C4308AE2373}"/>
            </c:ext>
          </c:extLst>
        </c:ser>
        <c:dLbls>
          <c:dLblPos val="outEnd"/>
          <c:showLegendKey val="0"/>
          <c:showVal val="1"/>
          <c:showCatName val="0"/>
          <c:showSerName val="0"/>
          <c:showPercent val="0"/>
          <c:showBubbleSize val="0"/>
        </c:dLbls>
        <c:gapWidth val="182"/>
        <c:axId val="1797892191"/>
        <c:axId val="1797890271"/>
      </c:barChart>
      <c:catAx>
        <c:axId val="179789219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890271"/>
        <c:crosses val="autoZero"/>
        <c:auto val="1"/>
        <c:lblAlgn val="ctr"/>
        <c:lblOffset val="100"/>
        <c:noMultiLvlLbl val="0"/>
      </c:catAx>
      <c:valAx>
        <c:axId val="1797890271"/>
        <c:scaling>
          <c:orientation val="minMax"/>
        </c:scaling>
        <c:delete val="0"/>
        <c:axPos val="t"/>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892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Dashboard File.xlsx]Pivot_Table!PivotTable13</c:name>
    <c:fmtId val="14"/>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tx1">
                      <a:alpha val="93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a:gsLst>
              <a:gs pos="23000">
                <a:schemeClr val="tx2">
                  <a:lumMod val="60000"/>
                  <a:lumOff val="40000"/>
                </a:schemeClr>
              </a:gs>
              <a:gs pos="60500">
                <a:schemeClr val="tx2">
                  <a:lumMod val="40000"/>
                  <a:lumOff val="60000"/>
                </a:schemeClr>
              </a:gs>
              <a:gs pos="83000">
                <a:schemeClr val="tx2">
                  <a:lumMod val="20000"/>
                  <a:lumOff val="80000"/>
                </a:schemeClr>
              </a:gs>
            </a:gsLst>
            <a:lin ang="5400000" scaled="1"/>
          </a:gradFill>
          <a:ln>
            <a:noFill/>
          </a:ln>
          <a:effectLst/>
          <a:scene3d>
            <a:camera prst="orthographicFront"/>
            <a:lightRig rig="brightRoom" dir="t"/>
          </a:scene3d>
          <a:sp3d prstMaterial="flat">
            <a:bevelT w="50800" h="101600" prst="angle"/>
            <a:contourClr>
              <a:srgbClr val="000000"/>
            </a:contourClr>
          </a:sp3d>
        </c:spPr>
      </c:pivotFmt>
      <c:pivotFmt>
        <c:idx val="15"/>
        <c:spPr>
          <a:gradFill>
            <a:gsLst>
              <a:gs pos="50000">
                <a:srgbClr val="FFC000"/>
              </a:gs>
              <a:gs pos="81000">
                <a:srgbClr val="FFFF00"/>
              </a:gs>
            </a:gsLst>
            <a:lin ang="5400000" scaled="1"/>
          </a:gradFill>
          <a:ln>
            <a:noFill/>
          </a:ln>
          <a:effectLst/>
          <a:scene3d>
            <a:camera prst="orthographicFront"/>
            <a:lightRig rig="brightRoom" dir="t"/>
          </a:scene3d>
          <a:sp3d prstMaterial="flat">
            <a:bevelT w="50800" h="101600" prst="angle"/>
            <a:contourClr>
              <a:srgbClr val="000000"/>
            </a:contourClr>
          </a:sp3d>
        </c:spPr>
      </c:pivotFmt>
      <c:pivotFmt>
        <c:idx val="16"/>
        <c:spPr>
          <a:gradFill>
            <a:gsLst>
              <a:gs pos="50000">
                <a:srgbClr val="C00000"/>
              </a:gs>
              <a:gs pos="81000">
                <a:schemeClr val="accent2">
                  <a:lumMod val="60000"/>
                  <a:lumOff val="40000"/>
                </a:schemeClr>
              </a:gs>
            </a:gsLst>
            <a:lin ang="5400000" scaled="1"/>
          </a:gra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1893704850361198"/>
          <c:y val="0.13825757575757575"/>
          <c:w val="0.72084623323013419"/>
          <c:h val="0.75595238095238093"/>
        </c:manualLayout>
      </c:layout>
      <c:doughnutChart>
        <c:varyColors val="1"/>
        <c:ser>
          <c:idx val="0"/>
          <c:order val="0"/>
          <c:tx>
            <c:strRef>
              <c:f>Pivot_Table!$K$3</c:f>
              <c:strCache>
                <c:ptCount val="1"/>
                <c:pt idx="0">
                  <c:v>Total</c:v>
                </c:pt>
              </c:strCache>
            </c:strRef>
          </c:tx>
          <c:dPt>
            <c:idx val="0"/>
            <c:bubble3D val="0"/>
            <c:spPr>
              <a:gradFill>
                <a:gsLst>
                  <a:gs pos="23000">
                    <a:schemeClr val="tx2">
                      <a:lumMod val="60000"/>
                      <a:lumOff val="40000"/>
                    </a:schemeClr>
                  </a:gs>
                  <a:gs pos="60500">
                    <a:schemeClr val="tx2">
                      <a:lumMod val="40000"/>
                      <a:lumOff val="60000"/>
                    </a:schemeClr>
                  </a:gs>
                  <a:gs pos="83000">
                    <a:schemeClr val="tx2">
                      <a:lumMod val="20000"/>
                      <a:lumOff val="80000"/>
                    </a:schemeClr>
                  </a:gs>
                </a:gsLst>
                <a:lin ang="5400000" scaled="1"/>
              </a:gra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5DB-4A20-9AF4-624E771E30B0}"/>
              </c:ext>
            </c:extLst>
          </c:dPt>
          <c:dPt>
            <c:idx val="1"/>
            <c:bubble3D val="0"/>
            <c:spPr>
              <a:gradFill>
                <a:gsLst>
                  <a:gs pos="50000">
                    <a:srgbClr val="FFC000"/>
                  </a:gs>
                  <a:gs pos="81000">
                    <a:srgbClr val="FFFF00"/>
                  </a:gs>
                </a:gsLst>
                <a:lin ang="5400000" scaled="1"/>
              </a:gra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5DB-4A20-9AF4-624E771E30B0}"/>
              </c:ext>
            </c:extLst>
          </c:dPt>
          <c:dPt>
            <c:idx val="2"/>
            <c:bubble3D val="0"/>
            <c:spPr>
              <a:gradFill>
                <a:gsLst>
                  <a:gs pos="50000">
                    <a:srgbClr val="C00000"/>
                  </a:gs>
                  <a:gs pos="81000">
                    <a:schemeClr val="accent2">
                      <a:lumMod val="60000"/>
                      <a:lumOff val="40000"/>
                    </a:schemeClr>
                  </a:gs>
                </a:gsLst>
                <a:lin ang="5400000" scaled="1"/>
              </a:gra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5DB-4A20-9AF4-624E771E30B0}"/>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tx1">
                        <a:alpha val="93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Pivot_Table!$J$4:$J$7</c:f>
              <c:strCache>
                <c:ptCount val="3"/>
                <c:pt idx="0">
                  <c:v>Before Time</c:v>
                </c:pt>
                <c:pt idx="1">
                  <c:v>Intime</c:v>
                </c:pt>
                <c:pt idx="2">
                  <c:v>Late</c:v>
                </c:pt>
              </c:strCache>
            </c:strRef>
          </c:cat>
          <c:val>
            <c:numRef>
              <c:f>Pivot_Table!$K$4:$K$7</c:f>
              <c:numCache>
                <c:formatCode>General</c:formatCode>
                <c:ptCount val="3"/>
                <c:pt idx="0">
                  <c:v>213</c:v>
                </c:pt>
                <c:pt idx="1">
                  <c:v>77</c:v>
                </c:pt>
                <c:pt idx="2">
                  <c:v>210</c:v>
                </c:pt>
              </c:numCache>
            </c:numRef>
          </c:val>
          <c:extLst>
            <c:ext xmlns:c16="http://schemas.microsoft.com/office/drawing/2014/chart" uri="{C3380CC4-5D6E-409C-BE32-E72D297353CC}">
              <c16:uniqueId val="{00000006-85DB-4A20-9AF4-624E771E30B0}"/>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Dashboard File.xlsx]Pivot_Table!PivotTable5</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Top Cities by Sales Amount (after discount)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Pivot_Table!$G$28</c:f>
              <c:strCache>
                <c:ptCount val="1"/>
                <c:pt idx="0">
                  <c:v>Total</c:v>
                </c:pt>
              </c:strCache>
            </c:strRef>
          </c:tx>
          <c:spPr>
            <a:gradFill>
              <a:gsLst>
                <a:gs pos="0">
                  <a:schemeClr val="accent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Pivot_Table!$F$29:$F$37</c:f>
              <c:strCache>
                <c:ptCount val="8"/>
                <c:pt idx="0">
                  <c:v>Houston</c:v>
                </c:pt>
                <c:pt idx="1">
                  <c:v>San Francisco</c:v>
                </c:pt>
                <c:pt idx="2">
                  <c:v>Los Angeles</c:v>
                </c:pt>
                <c:pt idx="3">
                  <c:v>Dallas</c:v>
                </c:pt>
                <c:pt idx="4">
                  <c:v>Phoenix</c:v>
                </c:pt>
                <c:pt idx="5">
                  <c:v>New York</c:v>
                </c:pt>
                <c:pt idx="6">
                  <c:v>Chicago</c:v>
                </c:pt>
                <c:pt idx="7">
                  <c:v>Miami</c:v>
                </c:pt>
              </c:strCache>
            </c:strRef>
          </c:cat>
          <c:val>
            <c:numRef>
              <c:f>Pivot_Table!$G$29:$G$37</c:f>
              <c:numCache>
                <c:formatCode>General</c:formatCode>
                <c:ptCount val="8"/>
                <c:pt idx="0">
                  <c:v>59687.070399999982</c:v>
                </c:pt>
                <c:pt idx="1">
                  <c:v>49632.830799999989</c:v>
                </c:pt>
                <c:pt idx="2">
                  <c:v>47151.855899999995</c:v>
                </c:pt>
                <c:pt idx="3">
                  <c:v>45720.286999999989</c:v>
                </c:pt>
                <c:pt idx="4">
                  <c:v>45248.245800000004</c:v>
                </c:pt>
                <c:pt idx="5">
                  <c:v>39521.267499999994</c:v>
                </c:pt>
                <c:pt idx="6">
                  <c:v>32981.927000000003</c:v>
                </c:pt>
                <c:pt idx="7">
                  <c:v>24522.095300000001</c:v>
                </c:pt>
              </c:numCache>
            </c:numRef>
          </c:val>
          <c:extLst>
            <c:ext xmlns:c16="http://schemas.microsoft.com/office/drawing/2014/chart" uri="{C3380CC4-5D6E-409C-BE32-E72D297353CC}">
              <c16:uniqueId val="{00000000-23DF-417A-A85B-895D6D519F95}"/>
            </c:ext>
          </c:extLst>
        </c:ser>
        <c:dLbls>
          <c:dLblPos val="outEnd"/>
          <c:showLegendKey val="0"/>
          <c:showVal val="1"/>
          <c:showCatName val="0"/>
          <c:showSerName val="0"/>
          <c:showPercent val="0"/>
          <c:showBubbleSize val="0"/>
        </c:dLbls>
        <c:gapWidth val="219"/>
        <c:axId val="632425168"/>
        <c:axId val="632424688"/>
      </c:barChart>
      <c:catAx>
        <c:axId val="63242516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424688"/>
        <c:crosses val="autoZero"/>
        <c:auto val="1"/>
        <c:lblAlgn val="ctr"/>
        <c:lblOffset val="100"/>
        <c:noMultiLvlLbl val="0"/>
      </c:catAx>
      <c:valAx>
        <c:axId val="632424688"/>
        <c:scaling>
          <c:orientation val="minMax"/>
        </c:scaling>
        <c:delete val="0"/>
        <c:axPos val="t"/>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425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Dashboard File.xlsx]Pivot_Table!PivotTable2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Best</a:t>
            </a:r>
            <a:r>
              <a:rPr lang="en-US" baseline="0"/>
              <a:t> Performing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Pivot_Table!$G$17</c:f>
              <c:strCache>
                <c:ptCount val="1"/>
                <c:pt idx="0">
                  <c:v>Total</c:v>
                </c:pt>
              </c:strCache>
            </c:strRef>
          </c:tx>
          <c:spPr>
            <a:gradFill>
              <a:gsLst>
                <a:gs pos="50000">
                  <a:srgbClr val="C00000"/>
                </a:gs>
                <a:gs pos="81000">
                  <a:schemeClr val="accent2">
                    <a:lumMod val="60000"/>
                    <a:lumOff val="40000"/>
                  </a:schemeClr>
                </a:gs>
              </a:gsLst>
              <a:lin ang="5400000" scaled="1"/>
            </a:gradFill>
            <a:ln w="0">
              <a:solidFill>
                <a:sysClr val="windowText" lastClr="000000">
                  <a:lumMod val="25000"/>
                  <a:lumOff val="75000"/>
                </a:sys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Pivot_Table!$F$18:$F$23</c:f>
              <c:strCache>
                <c:ptCount val="5"/>
                <c:pt idx="0">
                  <c:v>PID036</c:v>
                </c:pt>
                <c:pt idx="1">
                  <c:v>PID046</c:v>
                </c:pt>
                <c:pt idx="2">
                  <c:v>PID048</c:v>
                </c:pt>
                <c:pt idx="3">
                  <c:v>PID027</c:v>
                </c:pt>
                <c:pt idx="4">
                  <c:v>PID018</c:v>
                </c:pt>
              </c:strCache>
            </c:strRef>
          </c:cat>
          <c:val>
            <c:numRef>
              <c:f>Pivot_Table!$G$18:$G$23</c:f>
              <c:numCache>
                <c:formatCode>General</c:formatCode>
                <c:ptCount val="5"/>
                <c:pt idx="0">
                  <c:v>17</c:v>
                </c:pt>
                <c:pt idx="1">
                  <c:v>16</c:v>
                </c:pt>
                <c:pt idx="2">
                  <c:v>15</c:v>
                </c:pt>
                <c:pt idx="3">
                  <c:v>15</c:v>
                </c:pt>
                <c:pt idx="4">
                  <c:v>15</c:v>
                </c:pt>
              </c:numCache>
            </c:numRef>
          </c:val>
          <c:extLst>
            <c:ext xmlns:c16="http://schemas.microsoft.com/office/drawing/2014/chart" uri="{C3380CC4-5D6E-409C-BE32-E72D297353CC}">
              <c16:uniqueId val="{00000000-1AEE-430F-B3EB-FA8FB727377B}"/>
            </c:ext>
          </c:extLst>
        </c:ser>
        <c:dLbls>
          <c:dLblPos val="outEnd"/>
          <c:showLegendKey val="0"/>
          <c:showVal val="1"/>
          <c:showCatName val="0"/>
          <c:showSerName val="0"/>
          <c:showPercent val="0"/>
          <c:showBubbleSize val="0"/>
        </c:dLbls>
        <c:gapWidth val="92"/>
        <c:axId val="9070528"/>
        <c:axId val="9056128"/>
      </c:barChart>
      <c:catAx>
        <c:axId val="9070528"/>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128"/>
        <c:crosses val="autoZero"/>
        <c:auto val="1"/>
        <c:lblAlgn val="ctr"/>
        <c:lblOffset val="100"/>
        <c:noMultiLvlLbl val="0"/>
      </c:catAx>
      <c:valAx>
        <c:axId val="9056128"/>
        <c:scaling>
          <c:orientation val="minMax"/>
        </c:scaling>
        <c:delete val="0"/>
        <c:axPos val="t"/>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0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18" Type="http://schemas.openxmlformats.org/officeDocument/2006/relationships/image" Target="../media/image14.pn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image" Target="../media/image8.png"/><Relationship Id="rId17" Type="http://schemas.openxmlformats.org/officeDocument/2006/relationships/image" Target="../media/image13.svg"/><Relationship Id="rId2" Type="http://schemas.openxmlformats.org/officeDocument/2006/relationships/chart" Target="../charts/chart2.xml"/><Relationship Id="rId16" Type="http://schemas.openxmlformats.org/officeDocument/2006/relationships/image" Target="../media/image12.png"/><Relationship Id="rId20" Type="http://schemas.openxmlformats.org/officeDocument/2006/relationships/image" Target="../media/image16.png"/><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image" Target="../media/image7.svg"/><Relationship Id="rId5" Type="http://schemas.openxmlformats.org/officeDocument/2006/relationships/chart" Target="../charts/chart5.xml"/><Relationship Id="rId15" Type="http://schemas.openxmlformats.org/officeDocument/2006/relationships/image" Target="../media/image11.svg"/><Relationship Id="rId10" Type="http://schemas.openxmlformats.org/officeDocument/2006/relationships/image" Target="../media/image6.png"/><Relationship Id="rId19" Type="http://schemas.openxmlformats.org/officeDocument/2006/relationships/image" Target="../media/image15.sv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image" Target="../media/image10.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586740</xdr:colOff>
      <xdr:row>0</xdr:row>
      <xdr:rowOff>38100</xdr:rowOff>
    </xdr:from>
    <xdr:to>
      <xdr:col>8</xdr:col>
      <xdr:colOff>556260</xdr:colOff>
      <xdr:row>4</xdr:row>
      <xdr:rowOff>91440</xdr:rowOff>
    </xdr:to>
    <xdr:sp macro="" textlink="'KPI Calculation'!G5">
      <xdr:nvSpPr>
        <xdr:cNvPr id="12" name="Rectangle 11">
          <a:extLst>
            <a:ext uri="{FF2B5EF4-FFF2-40B4-BE49-F238E27FC236}">
              <a16:creationId xmlns:a16="http://schemas.microsoft.com/office/drawing/2014/main" id="{46057F57-5F97-A934-8DDD-07B8105F8C43}"/>
            </a:ext>
          </a:extLst>
        </xdr:cNvPr>
        <xdr:cNvSpPr/>
      </xdr:nvSpPr>
      <xdr:spPr>
        <a:xfrm>
          <a:off x="3634740" y="38100"/>
          <a:ext cx="1798320" cy="78486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2000" b="0" i="0" u="none" strike="noStrike">
              <a:solidFill>
                <a:srgbClr val="000000"/>
              </a:solidFill>
              <a:latin typeface="Calibri"/>
              <a:ea typeface="Calibri"/>
              <a:cs typeface="Calibri"/>
            </a:rPr>
            <a:t>           </a:t>
          </a:r>
          <a:fld id="{75B4CFBF-1671-4AFF-AD28-D8E0F138745B}" type="TxLink">
            <a:rPr lang="en-US" sz="2400" b="0" i="0" u="none" strike="noStrike">
              <a:solidFill>
                <a:srgbClr val="000000"/>
              </a:solidFill>
              <a:latin typeface="Calibri"/>
              <a:ea typeface="Calibri"/>
              <a:cs typeface="Calibri"/>
            </a:rPr>
            <a:pPr algn="ctr"/>
            <a:t>45,947</a:t>
          </a:fld>
          <a:endParaRPr lang="en-IN" sz="2400"/>
        </a:p>
      </xdr:txBody>
    </xdr:sp>
    <xdr:clientData/>
  </xdr:twoCellAnchor>
  <xdr:twoCellAnchor>
    <xdr:from>
      <xdr:col>11</xdr:col>
      <xdr:colOff>556260</xdr:colOff>
      <xdr:row>0</xdr:row>
      <xdr:rowOff>38100</xdr:rowOff>
    </xdr:from>
    <xdr:to>
      <xdr:col>15</xdr:col>
      <xdr:colOff>441960</xdr:colOff>
      <xdr:row>4</xdr:row>
      <xdr:rowOff>99060</xdr:rowOff>
    </xdr:to>
    <xdr:sp macro="" textlink="'KPI Calculation'!G9">
      <xdr:nvSpPr>
        <xdr:cNvPr id="13" name="Rectangle 12">
          <a:extLst>
            <a:ext uri="{FF2B5EF4-FFF2-40B4-BE49-F238E27FC236}">
              <a16:creationId xmlns:a16="http://schemas.microsoft.com/office/drawing/2014/main" id="{B9DB4346-B92D-4856-9C0F-BA8EEB938F75}"/>
            </a:ext>
          </a:extLst>
        </xdr:cNvPr>
        <xdr:cNvSpPr/>
      </xdr:nvSpPr>
      <xdr:spPr>
        <a:xfrm>
          <a:off x="7261860" y="38100"/>
          <a:ext cx="2324100" cy="79248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fld id="{C362E7D4-B1F4-4961-AE29-6899126A2EBB}" type="TxLink">
            <a:rPr lang="en-US" sz="2400" b="0" i="0" u="none" strike="noStrike">
              <a:solidFill>
                <a:srgbClr val="000000"/>
              </a:solidFill>
              <a:latin typeface="Calibri"/>
              <a:ea typeface="Calibri"/>
              <a:cs typeface="Calibri"/>
            </a:rPr>
            <a:pPr algn="r"/>
            <a:t>729</a:t>
          </a:fld>
          <a:endParaRPr lang="en-IN" sz="2400"/>
        </a:p>
      </xdr:txBody>
    </xdr:sp>
    <xdr:clientData/>
  </xdr:twoCellAnchor>
  <xdr:twoCellAnchor>
    <xdr:from>
      <xdr:col>9</xdr:col>
      <xdr:colOff>7620</xdr:colOff>
      <xdr:row>0</xdr:row>
      <xdr:rowOff>38100</xdr:rowOff>
    </xdr:from>
    <xdr:to>
      <xdr:col>11</xdr:col>
      <xdr:colOff>502920</xdr:colOff>
      <xdr:row>4</xdr:row>
      <xdr:rowOff>91440</xdr:rowOff>
    </xdr:to>
    <xdr:sp macro="" textlink="'KPI Calculation'!A10">
      <xdr:nvSpPr>
        <xdr:cNvPr id="14" name="Rectangle 13">
          <a:extLst>
            <a:ext uri="{FF2B5EF4-FFF2-40B4-BE49-F238E27FC236}">
              <a16:creationId xmlns:a16="http://schemas.microsoft.com/office/drawing/2014/main" id="{DE8309DC-5A06-4F9F-8193-80F36C0B611E}"/>
            </a:ext>
          </a:extLst>
        </xdr:cNvPr>
        <xdr:cNvSpPr/>
      </xdr:nvSpPr>
      <xdr:spPr>
        <a:xfrm>
          <a:off x="5494020" y="38100"/>
          <a:ext cx="1714500" cy="78486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2400" b="0" i="0" u="none" strike="noStrike">
              <a:solidFill>
                <a:srgbClr val="000000"/>
              </a:solidFill>
              <a:latin typeface="Calibri"/>
              <a:ea typeface="Calibri"/>
              <a:cs typeface="Calibri"/>
            </a:rPr>
            <a:t>               </a:t>
          </a:r>
          <a:fld id="{4BBE2F31-2F00-4298-8EA9-201CBF6F56C7}" type="TxLink">
            <a:rPr lang="en-US" sz="2400" b="0" i="0" u="none" strike="noStrike">
              <a:solidFill>
                <a:srgbClr val="000000"/>
              </a:solidFill>
              <a:latin typeface="Calibri"/>
              <a:ea typeface="Calibri"/>
              <a:cs typeface="Calibri"/>
            </a:rPr>
            <a:pPr algn="ctr"/>
            <a:t>500</a:t>
          </a:fld>
          <a:endParaRPr lang="en-IN" sz="2400"/>
        </a:p>
      </xdr:txBody>
    </xdr:sp>
    <xdr:clientData/>
  </xdr:twoCellAnchor>
  <xdr:twoCellAnchor>
    <xdr:from>
      <xdr:col>13</xdr:col>
      <xdr:colOff>152400</xdr:colOff>
      <xdr:row>18</xdr:row>
      <xdr:rowOff>22860</xdr:rowOff>
    </xdr:from>
    <xdr:to>
      <xdr:col>16</xdr:col>
      <xdr:colOff>441960</xdr:colOff>
      <xdr:row>22</xdr:row>
      <xdr:rowOff>53340</xdr:rowOff>
    </xdr:to>
    <xdr:sp macro="" textlink="'KPI Calculation'!B17">
      <xdr:nvSpPr>
        <xdr:cNvPr id="15" name="Rectangle 14">
          <a:extLst>
            <a:ext uri="{FF2B5EF4-FFF2-40B4-BE49-F238E27FC236}">
              <a16:creationId xmlns:a16="http://schemas.microsoft.com/office/drawing/2014/main" id="{E9E25608-A966-4292-9D89-6D655FF59F0D}"/>
            </a:ext>
          </a:extLst>
        </xdr:cNvPr>
        <xdr:cNvSpPr/>
      </xdr:nvSpPr>
      <xdr:spPr>
        <a:xfrm>
          <a:off x="8077200" y="3314700"/>
          <a:ext cx="2118360" cy="76200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fld id="{A0CC6246-2CF4-45D5-84A8-D202277E1C28}" type="TxLink">
            <a:rPr lang="en-US" sz="2400" b="0" i="0" u="none" strike="noStrike">
              <a:solidFill>
                <a:srgbClr val="000000"/>
              </a:solidFill>
              <a:latin typeface="Calibri"/>
              <a:ea typeface="Calibri"/>
              <a:cs typeface="Calibri"/>
            </a:rPr>
            <a:pPr algn="r"/>
            <a:t>18,816</a:t>
          </a:fld>
          <a:endParaRPr lang="en-IN" sz="2400"/>
        </a:p>
      </xdr:txBody>
    </xdr:sp>
    <xdr:clientData/>
  </xdr:twoCellAnchor>
  <xdr:twoCellAnchor>
    <xdr:from>
      <xdr:col>19</xdr:col>
      <xdr:colOff>335280</xdr:colOff>
      <xdr:row>0</xdr:row>
      <xdr:rowOff>60960</xdr:rowOff>
    </xdr:from>
    <xdr:to>
      <xdr:col>23</xdr:col>
      <xdr:colOff>144780</xdr:colOff>
      <xdr:row>4</xdr:row>
      <xdr:rowOff>83820</xdr:rowOff>
    </xdr:to>
    <xdr:sp macro="" textlink="'KPI Calculation'!G11">
      <xdr:nvSpPr>
        <xdr:cNvPr id="16" name="Rectangle 15">
          <a:extLst>
            <a:ext uri="{FF2B5EF4-FFF2-40B4-BE49-F238E27FC236}">
              <a16:creationId xmlns:a16="http://schemas.microsoft.com/office/drawing/2014/main" id="{71DAEE93-49DC-4F86-9D76-DBC0364E0B68}"/>
            </a:ext>
          </a:extLst>
        </xdr:cNvPr>
        <xdr:cNvSpPr/>
      </xdr:nvSpPr>
      <xdr:spPr>
        <a:xfrm>
          <a:off x="11917680" y="60960"/>
          <a:ext cx="2247900" cy="75438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2400" b="0" i="0" u="none" strike="noStrike">
              <a:solidFill>
                <a:srgbClr val="000000"/>
              </a:solidFill>
              <a:latin typeface="Calibri"/>
              <a:ea typeface="Calibri"/>
              <a:cs typeface="Calibri"/>
            </a:rPr>
            <a:t>               </a:t>
          </a:r>
          <a:fld id="{0F73F48E-A62F-453B-BCC9-8E4445790024}" type="TxLink">
            <a:rPr lang="en-US" sz="2400" b="0" i="0" u="none" strike="noStrike">
              <a:solidFill>
                <a:srgbClr val="000000"/>
              </a:solidFill>
              <a:latin typeface="Calibri"/>
              <a:ea typeface="Calibri"/>
              <a:cs typeface="Calibri"/>
            </a:rPr>
            <a:pPr algn="ctr"/>
            <a:t>94.6</a:t>
          </a:fld>
          <a:r>
            <a:rPr lang="en-US" sz="2400" b="0" i="0" u="none" strike="noStrike">
              <a:solidFill>
                <a:srgbClr val="000000"/>
              </a:solidFill>
              <a:latin typeface="Calibri"/>
              <a:ea typeface="Calibri"/>
              <a:cs typeface="Calibri"/>
            </a:rPr>
            <a:t> %</a:t>
          </a:r>
          <a:endParaRPr lang="en-IN" sz="2400"/>
        </a:p>
      </xdr:txBody>
    </xdr:sp>
    <xdr:clientData/>
  </xdr:twoCellAnchor>
  <xdr:twoCellAnchor>
    <xdr:from>
      <xdr:col>3</xdr:col>
      <xdr:colOff>53340</xdr:colOff>
      <xdr:row>0</xdr:row>
      <xdr:rowOff>38100</xdr:rowOff>
    </xdr:from>
    <xdr:to>
      <xdr:col>5</xdr:col>
      <xdr:colOff>541020</xdr:colOff>
      <xdr:row>4</xdr:row>
      <xdr:rowOff>99060</xdr:rowOff>
    </xdr:to>
    <xdr:sp macro="" textlink="'KPI Calculation'!G3">
      <xdr:nvSpPr>
        <xdr:cNvPr id="17" name="Rectangle 16">
          <a:extLst>
            <a:ext uri="{FF2B5EF4-FFF2-40B4-BE49-F238E27FC236}">
              <a16:creationId xmlns:a16="http://schemas.microsoft.com/office/drawing/2014/main" id="{6D092959-FFB4-46E5-A267-06021E889C38}"/>
            </a:ext>
          </a:extLst>
        </xdr:cNvPr>
        <xdr:cNvSpPr/>
      </xdr:nvSpPr>
      <xdr:spPr>
        <a:xfrm>
          <a:off x="1882140" y="38100"/>
          <a:ext cx="1706880" cy="79248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2400" b="0" i="0" u="none" strike="noStrike">
              <a:solidFill>
                <a:srgbClr val="000000"/>
              </a:solidFill>
              <a:latin typeface="Calibri"/>
              <a:ea typeface="Calibri"/>
              <a:cs typeface="Calibri"/>
            </a:rPr>
            <a:t>  </a:t>
          </a:r>
          <a:fld id="{03022243-9DA9-42B3-BF6D-5ED6FAE7CF8F}" type="TxLink">
            <a:rPr lang="en-US" sz="2400" b="0" i="0" u="none" strike="noStrike">
              <a:solidFill>
                <a:srgbClr val="000000"/>
              </a:solidFill>
              <a:latin typeface="Calibri"/>
              <a:ea typeface="Calibri"/>
              <a:cs typeface="Calibri"/>
            </a:rPr>
            <a:pPr algn="r"/>
            <a:t>3,64,289</a:t>
          </a:fld>
          <a:endParaRPr lang="en-IN" sz="2400"/>
        </a:p>
      </xdr:txBody>
    </xdr:sp>
    <xdr:clientData/>
  </xdr:twoCellAnchor>
  <xdr:twoCellAnchor>
    <xdr:from>
      <xdr:col>16</xdr:col>
      <xdr:colOff>487680</xdr:colOff>
      <xdr:row>18</xdr:row>
      <xdr:rowOff>22860</xdr:rowOff>
    </xdr:from>
    <xdr:to>
      <xdr:col>19</xdr:col>
      <xdr:colOff>441960</xdr:colOff>
      <xdr:row>22</xdr:row>
      <xdr:rowOff>53340</xdr:rowOff>
    </xdr:to>
    <xdr:sp macro="" textlink="'KPI Calculation'!A10">
      <xdr:nvSpPr>
        <xdr:cNvPr id="18" name="Rectangle 17">
          <a:extLst>
            <a:ext uri="{FF2B5EF4-FFF2-40B4-BE49-F238E27FC236}">
              <a16:creationId xmlns:a16="http://schemas.microsoft.com/office/drawing/2014/main" id="{A4D6B624-A7FF-4855-8652-C75414CFCAF1}"/>
            </a:ext>
          </a:extLst>
        </xdr:cNvPr>
        <xdr:cNvSpPr/>
      </xdr:nvSpPr>
      <xdr:spPr>
        <a:xfrm>
          <a:off x="10241280" y="3314700"/>
          <a:ext cx="1783080" cy="76200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fld id="{44A6D30F-3E91-417F-9BE1-60032721BB98}" type="TxLink">
            <a:rPr lang="en-US" sz="2400" b="0" i="0" u="none" strike="noStrike">
              <a:solidFill>
                <a:srgbClr val="000000"/>
              </a:solidFill>
              <a:latin typeface="Calibri"/>
              <a:ea typeface="Calibri"/>
              <a:cs typeface="Calibri"/>
            </a:rPr>
            <a:pPr algn="r"/>
            <a:t>500</a:t>
          </a:fld>
          <a:endParaRPr lang="en-IN" sz="2400"/>
        </a:p>
      </xdr:txBody>
    </xdr:sp>
    <xdr:clientData/>
  </xdr:twoCellAnchor>
  <xdr:twoCellAnchor>
    <xdr:from>
      <xdr:col>19</xdr:col>
      <xdr:colOff>487680</xdr:colOff>
      <xdr:row>18</xdr:row>
      <xdr:rowOff>22860</xdr:rowOff>
    </xdr:from>
    <xdr:to>
      <xdr:col>23</xdr:col>
      <xdr:colOff>114300</xdr:colOff>
      <xdr:row>22</xdr:row>
      <xdr:rowOff>53340</xdr:rowOff>
    </xdr:to>
    <xdr:sp macro="" textlink="'KPI Calculation'!A8">
      <xdr:nvSpPr>
        <xdr:cNvPr id="19" name="Rectangle 18">
          <a:extLst>
            <a:ext uri="{FF2B5EF4-FFF2-40B4-BE49-F238E27FC236}">
              <a16:creationId xmlns:a16="http://schemas.microsoft.com/office/drawing/2014/main" id="{FCB8BEA5-900C-49E6-8C15-B56DA5991592}"/>
            </a:ext>
          </a:extLst>
        </xdr:cNvPr>
        <xdr:cNvSpPr/>
      </xdr:nvSpPr>
      <xdr:spPr>
        <a:xfrm>
          <a:off x="12070080" y="3314700"/>
          <a:ext cx="2065020" cy="76200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2400" b="0" i="0" u="none" strike="noStrike">
              <a:solidFill>
                <a:srgbClr val="000000"/>
              </a:solidFill>
              <a:latin typeface="Calibri"/>
              <a:ea typeface="Calibri"/>
              <a:cs typeface="Calibri"/>
            </a:rPr>
            <a:t>   </a:t>
          </a:r>
          <a:fld id="{B8FABEE4-0544-4244-8A45-718787E071D6}" type="TxLink">
            <a:rPr lang="en-US" sz="2400" b="0" i="0" u="none" strike="noStrike">
              <a:solidFill>
                <a:srgbClr val="000000"/>
              </a:solidFill>
              <a:latin typeface="Calibri"/>
              <a:ea typeface="Calibri"/>
              <a:cs typeface="Calibri"/>
            </a:rPr>
            <a:pPr algn="ctr"/>
            <a:t>4</a:t>
          </a:fld>
          <a:endParaRPr lang="en-IN" sz="2400"/>
        </a:p>
      </xdr:txBody>
    </xdr:sp>
    <xdr:clientData/>
  </xdr:twoCellAnchor>
  <xdr:twoCellAnchor>
    <xdr:from>
      <xdr:col>9</xdr:col>
      <xdr:colOff>434340</xdr:colOff>
      <xdr:row>18</xdr:row>
      <xdr:rowOff>15240</xdr:rowOff>
    </xdr:from>
    <xdr:to>
      <xdr:col>13</xdr:col>
      <xdr:colOff>114300</xdr:colOff>
      <xdr:row>22</xdr:row>
      <xdr:rowOff>60960</xdr:rowOff>
    </xdr:to>
    <xdr:sp macro="" textlink="'KPI Calculation'!A15">
      <xdr:nvSpPr>
        <xdr:cNvPr id="20" name="Rectangle 19">
          <a:extLst>
            <a:ext uri="{FF2B5EF4-FFF2-40B4-BE49-F238E27FC236}">
              <a16:creationId xmlns:a16="http://schemas.microsoft.com/office/drawing/2014/main" id="{AC09D415-3EB3-41ED-957A-88C414348981}"/>
            </a:ext>
          </a:extLst>
        </xdr:cNvPr>
        <xdr:cNvSpPr/>
      </xdr:nvSpPr>
      <xdr:spPr>
        <a:xfrm>
          <a:off x="5920740" y="3307080"/>
          <a:ext cx="2118360" cy="77724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fld id="{1E30329F-ED8C-4B75-980F-F69E7785F939}" type="TxLink">
            <a:rPr lang="en-US" sz="2400" b="0" i="0" u="none" strike="noStrike">
              <a:solidFill>
                <a:srgbClr val="000000"/>
              </a:solidFill>
              <a:latin typeface="Calibri"/>
              <a:ea typeface="Calibri"/>
              <a:cs typeface="Calibri"/>
            </a:rPr>
            <a:pPr algn="r"/>
            <a:t>PID036</a:t>
          </a:fld>
          <a:endParaRPr lang="en-IN" sz="2400"/>
        </a:p>
      </xdr:txBody>
    </xdr:sp>
    <xdr:clientData/>
  </xdr:twoCellAnchor>
  <xdr:twoCellAnchor>
    <xdr:from>
      <xdr:col>15</xdr:col>
      <xdr:colOff>495300</xdr:colOff>
      <xdr:row>0</xdr:row>
      <xdr:rowOff>53340</xdr:rowOff>
    </xdr:from>
    <xdr:to>
      <xdr:col>19</xdr:col>
      <xdr:colOff>281940</xdr:colOff>
      <xdr:row>4</xdr:row>
      <xdr:rowOff>91440</xdr:rowOff>
    </xdr:to>
    <xdr:sp macro="" textlink="'KPI Calculation'!G7">
      <xdr:nvSpPr>
        <xdr:cNvPr id="21" name="Rectangle 20">
          <a:extLst>
            <a:ext uri="{FF2B5EF4-FFF2-40B4-BE49-F238E27FC236}">
              <a16:creationId xmlns:a16="http://schemas.microsoft.com/office/drawing/2014/main" id="{5E686106-1739-4646-95E9-01F04F9716A4}"/>
            </a:ext>
          </a:extLst>
        </xdr:cNvPr>
        <xdr:cNvSpPr/>
      </xdr:nvSpPr>
      <xdr:spPr>
        <a:xfrm>
          <a:off x="9639300" y="53340"/>
          <a:ext cx="2225040" cy="769620"/>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r"/>
          <a:fld id="{1517FA95-6782-42E1-B29A-34A327D40D1D}" type="TxLink">
            <a:rPr lang="en-US" sz="2400" b="0" i="0" u="none" strike="noStrike">
              <a:solidFill>
                <a:srgbClr val="000000"/>
              </a:solidFill>
              <a:latin typeface="Calibri"/>
              <a:ea typeface="Calibri"/>
              <a:cs typeface="Calibri"/>
            </a:rPr>
            <a:pPr algn="r"/>
            <a:t>689</a:t>
          </a:fld>
          <a:endParaRPr lang="en-IN" sz="2400"/>
        </a:p>
      </xdr:txBody>
    </xdr:sp>
    <xdr:clientData/>
  </xdr:twoCellAnchor>
  <xdr:twoCellAnchor>
    <xdr:from>
      <xdr:col>9</xdr:col>
      <xdr:colOff>403860</xdr:colOff>
      <xdr:row>4</xdr:row>
      <xdr:rowOff>152400</xdr:rowOff>
    </xdr:from>
    <xdr:to>
      <xdr:col>23</xdr:col>
      <xdr:colOff>190500</xdr:colOff>
      <xdr:row>17</xdr:row>
      <xdr:rowOff>144780</xdr:rowOff>
    </xdr:to>
    <xdr:graphicFrame macro="">
      <xdr:nvGraphicFramePr>
        <xdr:cNvPr id="22" name="Chart 21">
          <a:extLst>
            <a:ext uri="{FF2B5EF4-FFF2-40B4-BE49-F238E27FC236}">
              <a16:creationId xmlns:a16="http://schemas.microsoft.com/office/drawing/2014/main" id="{139EC208-BDF1-49DA-82D1-BF3575A4EC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297180</xdr:colOff>
      <xdr:row>22</xdr:row>
      <xdr:rowOff>121920</xdr:rowOff>
    </xdr:from>
    <xdr:to>
      <xdr:col>23</xdr:col>
      <xdr:colOff>175260</xdr:colOff>
      <xdr:row>33</xdr:row>
      <xdr:rowOff>129540</xdr:rowOff>
    </xdr:to>
    <xdr:graphicFrame macro="">
      <xdr:nvGraphicFramePr>
        <xdr:cNvPr id="25" name="Chart 24">
          <a:extLst>
            <a:ext uri="{FF2B5EF4-FFF2-40B4-BE49-F238E27FC236}">
              <a16:creationId xmlns:a16="http://schemas.microsoft.com/office/drawing/2014/main" id="{8D7D31DE-830F-4857-9FDA-789748A4F2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518160</xdr:colOff>
      <xdr:row>22</xdr:row>
      <xdr:rowOff>106680</xdr:rowOff>
    </xdr:from>
    <xdr:to>
      <xdr:col>15</xdr:col>
      <xdr:colOff>281940</xdr:colOff>
      <xdr:row>33</xdr:row>
      <xdr:rowOff>160020</xdr:rowOff>
    </xdr:to>
    <xdr:graphicFrame macro="">
      <xdr:nvGraphicFramePr>
        <xdr:cNvPr id="26" name="Chart 25">
          <a:extLst>
            <a:ext uri="{FF2B5EF4-FFF2-40B4-BE49-F238E27FC236}">
              <a16:creationId xmlns:a16="http://schemas.microsoft.com/office/drawing/2014/main" id="{4144C639-D2B4-4C83-9FF8-906E4856F0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22</xdr:row>
      <xdr:rowOff>0</xdr:rowOff>
    </xdr:from>
    <xdr:to>
      <xdr:col>3</xdr:col>
      <xdr:colOff>0</xdr:colOff>
      <xdr:row>33</xdr:row>
      <xdr:rowOff>160020</xdr:rowOff>
    </xdr:to>
    <mc:AlternateContent xmlns:mc="http://schemas.openxmlformats.org/markup-compatibility/2006" xmlns:a14="http://schemas.microsoft.com/office/drawing/2010/main">
      <mc:Choice Requires="a14">
        <xdr:graphicFrame macro="">
          <xdr:nvGraphicFramePr>
            <xdr:cNvPr id="30" name="City">
              <a:extLst>
                <a:ext uri="{FF2B5EF4-FFF2-40B4-BE49-F238E27FC236}">
                  <a16:creationId xmlns:a16="http://schemas.microsoft.com/office/drawing/2014/main" id="{CA4956CB-01F5-42DB-0A2A-45A5DAD5BD4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0" y="4023360"/>
              <a:ext cx="1828800" cy="2171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15241</xdr:rowOff>
    </xdr:from>
    <xdr:to>
      <xdr:col>3</xdr:col>
      <xdr:colOff>0</xdr:colOff>
      <xdr:row>21</xdr:row>
      <xdr:rowOff>175261</xdr:rowOff>
    </xdr:to>
    <mc:AlternateContent xmlns:mc="http://schemas.openxmlformats.org/markup-compatibility/2006" xmlns:a14="http://schemas.microsoft.com/office/drawing/2010/main">
      <mc:Choice Requires="a14">
        <xdr:graphicFrame macro="">
          <xdr:nvGraphicFramePr>
            <xdr:cNvPr id="34" name="Order_Date (Month)">
              <a:extLst>
                <a:ext uri="{FF2B5EF4-FFF2-40B4-BE49-F238E27FC236}">
                  <a16:creationId xmlns:a16="http://schemas.microsoft.com/office/drawing/2014/main" id="{36037DB6-7A71-C0E3-10E6-99187E859F27}"/>
                </a:ext>
              </a:extLst>
            </xdr:cNvPr>
            <xdr:cNvGraphicFramePr/>
          </xdr:nvGraphicFramePr>
          <xdr:xfrm>
            <a:off x="0" y="0"/>
            <a:ext cx="0" cy="0"/>
          </xdr:xfrm>
          <a:graphic>
            <a:graphicData uri="http://schemas.microsoft.com/office/drawing/2010/slicer">
              <sle:slicer xmlns:sle="http://schemas.microsoft.com/office/drawing/2010/slicer" name="Order_Date (Month)"/>
            </a:graphicData>
          </a:graphic>
        </xdr:graphicFrame>
      </mc:Choice>
      <mc:Fallback xmlns="">
        <xdr:sp macro="" textlink="">
          <xdr:nvSpPr>
            <xdr:cNvPr id="0" name=""/>
            <xdr:cNvSpPr>
              <a:spLocks noTextEdit="1"/>
            </xdr:cNvSpPr>
          </xdr:nvSpPr>
          <xdr:spPr>
            <a:xfrm>
              <a:off x="0" y="2758441"/>
              <a:ext cx="18288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1</xdr:rowOff>
    </xdr:from>
    <xdr:to>
      <xdr:col>3</xdr:col>
      <xdr:colOff>0</xdr:colOff>
      <xdr:row>9</xdr:row>
      <xdr:rowOff>30481</xdr:rowOff>
    </xdr:to>
    <mc:AlternateContent xmlns:mc="http://schemas.openxmlformats.org/markup-compatibility/2006" xmlns:a14="http://schemas.microsoft.com/office/drawing/2010/main">
      <mc:Choice Requires="a14">
        <xdr:graphicFrame macro="">
          <xdr:nvGraphicFramePr>
            <xdr:cNvPr id="35" name="Coupon_Code">
              <a:extLst>
                <a:ext uri="{FF2B5EF4-FFF2-40B4-BE49-F238E27FC236}">
                  <a16:creationId xmlns:a16="http://schemas.microsoft.com/office/drawing/2014/main" id="{4867F383-B0CE-9A03-F330-D1BA6F915602}"/>
                </a:ext>
              </a:extLst>
            </xdr:cNvPr>
            <xdr:cNvGraphicFramePr/>
          </xdr:nvGraphicFramePr>
          <xdr:xfrm>
            <a:off x="0" y="0"/>
            <a:ext cx="0" cy="0"/>
          </xdr:xfrm>
          <a:graphic>
            <a:graphicData uri="http://schemas.microsoft.com/office/drawing/2010/slicer">
              <sle:slicer xmlns:sle="http://schemas.microsoft.com/office/drawing/2010/slicer" name="Coupon_Code"/>
            </a:graphicData>
          </a:graphic>
        </xdr:graphicFrame>
      </mc:Choice>
      <mc:Fallback xmlns="">
        <xdr:sp macro="" textlink="">
          <xdr:nvSpPr>
            <xdr:cNvPr id="0" name=""/>
            <xdr:cNvSpPr>
              <a:spLocks noTextEdit="1"/>
            </xdr:cNvSpPr>
          </xdr:nvSpPr>
          <xdr:spPr>
            <a:xfrm>
              <a:off x="0" y="1"/>
              <a:ext cx="1828800" cy="1676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15241</xdr:rowOff>
    </xdr:from>
    <xdr:to>
      <xdr:col>3</xdr:col>
      <xdr:colOff>0</xdr:colOff>
      <xdr:row>15</xdr:row>
      <xdr:rowOff>91440</xdr:rowOff>
    </xdr:to>
    <mc:AlternateContent xmlns:mc="http://schemas.openxmlformats.org/markup-compatibility/2006" xmlns:a14="http://schemas.microsoft.com/office/drawing/2010/main">
      <mc:Choice Requires="a14">
        <xdr:graphicFrame macro="">
          <xdr:nvGraphicFramePr>
            <xdr:cNvPr id="36" name=" IsLateDelivery">
              <a:extLst>
                <a:ext uri="{FF2B5EF4-FFF2-40B4-BE49-F238E27FC236}">
                  <a16:creationId xmlns:a16="http://schemas.microsoft.com/office/drawing/2014/main" id="{C9B091E8-CFC2-6A27-8B1D-91E9AB72B39B}"/>
                </a:ext>
              </a:extLst>
            </xdr:cNvPr>
            <xdr:cNvGraphicFramePr/>
          </xdr:nvGraphicFramePr>
          <xdr:xfrm>
            <a:off x="0" y="0"/>
            <a:ext cx="0" cy="0"/>
          </xdr:xfrm>
          <a:graphic>
            <a:graphicData uri="http://schemas.microsoft.com/office/drawing/2010/slicer">
              <sle:slicer xmlns:sle="http://schemas.microsoft.com/office/drawing/2010/slicer" name=" IsLateDelivery"/>
            </a:graphicData>
          </a:graphic>
        </xdr:graphicFrame>
      </mc:Choice>
      <mc:Fallback xmlns="">
        <xdr:sp macro="" textlink="">
          <xdr:nvSpPr>
            <xdr:cNvPr id="0" name=""/>
            <xdr:cNvSpPr>
              <a:spLocks noTextEdit="1"/>
            </xdr:cNvSpPr>
          </xdr:nvSpPr>
          <xdr:spPr>
            <a:xfrm>
              <a:off x="0" y="1661161"/>
              <a:ext cx="1828800" cy="1173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518160</xdr:colOff>
      <xdr:row>4</xdr:row>
      <xdr:rowOff>152400</xdr:rowOff>
    </xdr:from>
    <xdr:to>
      <xdr:col>9</xdr:col>
      <xdr:colOff>388620</xdr:colOff>
      <xdr:row>22</xdr:row>
      <xdr:rowOff>106680</xdr:rowOff>
    </xdr:to>
    <xdr:graphicFrame macro="">
      <xdr:nvGraphicFramePr>
        <xdr:cNvPr id="37" name="Chart 36">
          <a:extLst>
            <a:ext uri="{FF2B5EF4-FFF2-40B4-BE49-F238E27FC236}">
              <a16:creationId xmlns:a16="http://schemas.microsoft.com/office/drawing/2014/main" id="{406E6A93-34C4-4216-851A-E61261616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541020</xdr:colOff>
      <xdr:row>22</xdr:row>
      <xdr:rowOff>106680</xdr:rowOff>
    </xdr:from>
    <xdr:to>
      <xdr:col>10</xdr:col>
      <xdr:colOff>510540</xdr:colOff>
      <xdr:row>33</xdr:row>
      <xdr:rowOff>152400</xdr:rowOff>
    </xdr:to>
    <xdr:graphicFrame macro="">
      <xdr:nvGraphicFramePr>
        <xdr:cNvPr id="38" name="Chart 37">
          <a:extLst>
            <a:ext uri="{FF2B5EF4-FFF2-40B4-BE49-F238E27FC236}">
              <a16:creationId xmlns:a16="http://schemas.microsoft.com/office/drawing/2014/main" id="{F742C5B0-2A73-4D4D-A3E9-2A884246B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373380</xdr:colOff>
      <xdr:row>0</xdr:row>
      <xdr:rowOff>45720</xdr:rowOff>
    </xdr:from>
    <xdr:to>
      <xdr:col>5</xdr:col>
      <xdr:colOff>480060</xdr:colOff>
      <xdr:row>1</xdr:row>
      <xdr:rowOff>167640</xdr:rowOff>
    </xdr:to>
    <xdr:sp macro="" textlink="">
      <xdr:nvSpPr>
        <xdr:cNvPr id="2" name="TextBox 1">
          <a:extLst>
            <a:ext uri="{FF2B5EF4-FFF2-40B4-BE49-F238E27FC236}">
              <a16:creationId xmlns:a16="http://schemas.microsoft.com/office/drawing/2014/main" id="{4E824681-0F6D-7BC6-74CE-D4DCA9DE1E4F}"/>
            </a:ext>
          </a:extLst>
        </xdr:cNvPr>
        <xdr:cNvSpPr txBox="1"/>
      </xdr:nvSpPr>
      <xdr:spPr>
        <a:xfrm>
          <a:off x="2202180" y="45720"/>
          <a:ext cx="132588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Total Sales</a:t>
          </a:r>
        </a:p>
      </xdr:txBody>
    </xdr:sp>
    <xdr:clientData/>
  </xdr:twoCellAnchor>
  <xdr:twoCellAnchor>
    <xdr:from>
      <xdr:col>5</xdr:col>
      <xdr:colOff>586740</xdr:colOff>
      <xdr:row>0</xdr:row>
      <xdr:rowOff>38100</xdr:rowOff>
    </xdr:from>
    <xdr:to>
      <xdr:col>8</xdr:col>
      <xdr:colOff>594360</xdr:colOff>
      <xdr:row>1</xdr:row>
      <xdr:rowOff>160020</xdr:rowOff>
    </xdr:to>
    <xdr:sp macro="" textlink="">
      <xdr:nvSpPr>
        <xdr:cNvPr id="3" name="TextBox 2">
          <a:extLst>
            <a:ext uri="{FF2B5EF4-FFF2-40B4-BE49-F238E27FC236}">
              <a16:creationId xmlns:a16="http://schemas.microsoft.com/office/drawing/2014/main" id="{8A28D675-E73D-495B-88D1-12890C06EBFE}"/>
            </a:ext>
          </a:extLst>
        </xdr:cNvPr>
        <xdr:cNvSpPr txBox="1"/>
      </xdr:nvSpPr>
      <xdr:spPr>
        <a:xfrm>
          <a:off x="3634740" y="38100"/>
          <a:ext cx="18364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Total Discount</a:t>
          </a:r>
        </a:p>
      </xdr:txBody>
    </xdr:sp>
    <xdr:clientData/>
  </xdr:twoCellAnchor>
  <xdr:twoCellAnchor>
    <xdr:from>
      <xdr:col>11</xdr:col>
      <xdr:colOff>114300</xdr:colOff>
      <xdr:row>0</xdr:row>
      <xdr:rowOff>45720</xdr:rowOff>
    </xdr:from>
    <xdr:to>
      <xdr:col>12</xdr:col>
      <xdr:colOff>15240</xdr:colOff>
      <xdr:row>1</xdr:row>
      <xdr:rowOff>167640</xdr:rowOff>
    </xdr:to>
    <xdr:sp macro="" textlink="">
      <xdr:nvSpPr>
        <xdr:cNvPr id="4" name="TextBox 3">
          <a:extLst>
            <a:ext uri="{FF2B5EF4-FFF2-40B4-BE49-F238E27FC236}">
              <a16:creationId xmlns:a16="http://schemas.microsoft.com/office/drawing/2014/main" id="{1560FC07-FEDE-417C-AE87-870D0349D50D}"/>
            </a:ext>
          </a:extLst>
        </xdr:cNvPr>
        <xdr:cNvSpPr txBox="1"/>
      </xdr:nvSpPr>
      <xdr:spPr>
        <a:xfrm>
          <a:off x="6819900" y="45720"/>
          <a:ext cx="51054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400" b="0"/>
            <a:t> </a:t>
          </a:r>
        </a:p>
      </xdr:txBody>
    </xdr:sp>
    <xdr:clientData/>
  </xdr:twoCellAnchor>
  <xdr:twoCellAnchor>
    <xdr:from>
      <xdr:col>19</xdr:col>
      <xdr:colOff>114300</xdr:colOff>
      <xdr:row>0</xdr:row>
      <xdr:rowOff>60960</xdr:rowOff>
    </xdr:from>
    <xdr:to>
      <xdr:col>23</xdr:col>
      <xdr:colOff>198120</xdr:colOff>
      <xdr:row>2</xdr:row>
      <xdr:rowOff>0</xdr:rowOff>
    </xdr:to>
    <xdr:sp macro="" textlink="">
      <xdr:nvSpPr>
        <xdr:cNvPr id="7" name="TextBox 6">
          <a:extLst>
            <a:ext uri="{FF2B5EF4-FFF2-40B4-BE49-F238E27FC236}">
              <a16:creationId xmlns:a16="http://schemas.microsoft.com/office/drawing/2014/main" id="{961B7D57-773B-449F-8805-EC5584FE579D}"/>
            </a:ext>
          </a:extLst>
        </xdr:cNvPr>
        <xdr:cNvSpPr txBox="1"/>
      </xdr:nvSpPr>
      <xdr:spPr>
        <a:xfrm>
          <a:off x="11696700" y="60960"/>
          <a:ext cx="25222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Revenue</a:t>
          </a:r>
          <a:r>
            <a:rPr lang="en-IN" sz="1800" b="0" baseline="0"/>
            <a:t> Realization</a:t>
          </a:r>
          <a:endParaRPr lang="en-IN" sz="1800" b="0"/>
        </a:p>
      </xdr:txBody>
    </xdr:sp>
    <xdr:clientData/>
  </xdr:twoCellAnchor>
  <xdr:twoCellAnchor>
    <xdr:from>
      <xdr:col>10</xdr:col>
      <xdr:colOff>289560</xdr:colOff>
      <xdr:row>18</xdr:row>
      <xdr:rowOff>7620</xdr:rowOff>
    </xdr:from>
    <xdr:to>
      <xdr:col>13</xdr:col>
      <xdr:colOff>30480</xdr:colOff>
      <xdr:row>19</xdr:row>
      <xdr:rowOff>129540</xdr:rowOff>
    </xdr:to>
    <xdr:sp macro="" textlink="">
      <xdr:nvSpPr>
        <xdr:cNvPr id="8" name="TextBox 7">
          <a:extLst>
            <a:ext uri="{FF2B5EF4-FFF2-40B4-BE49-F238E27FC236}">
              <a16:creationId xmlns:a16="http://schemas.microsoft.com/office/drawing/2014/main" id="{9135A6C1-EEB5-40AF-8B6B-0D7CF0A24C3D}"/>
            </a:ext>
          </a:extLst>
        </xdr:cNvPr>
        <xdr:cNvSpPr txBox="1"/>
      </xdr:nvSpPr>
      <xdr:spPr>
        <a:xfrm>
          <a:off x="6385560" y="3299460"/>
          <a:ext cx="15697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Top</a:t>
          </a:r>
          <a:r>
            <a:rPr lang="en-IN" sz="1800" b="0" baseline="0"/>
            <a:t> Product</a:t>
          </a:r>
          <a:endParaRPr lang="en-IN" sz="1800" b="0"/>
        </a:p>
      </xdr:txBody>
    </xdr:sp>
    <xdr:clientData/>
  </xdr:twoCellAnchor>
  <xdr:twoCellAnchor>
    <xdr:from>
      <xdr:col>13</xdr:col>
      <xdr:colOff>144780</xdr:colOff>
      <xdr:row>17</xdr:row>
      <xdr:rowOff>160020</xdr:rowOff>
    </xdr:from>
    <xdr:to>
      <xdr:col>16</xdr:col>
      <xdr:colOff>502920</xdr:colOff>
      <xdr:row>19</xdr:row>
      <xdr:rowOff>99060</xdr:rowOff>
    </xdr:to>
    <xdr:sp macro="" textlink="">
      <xdr:nvSpPr>
        <xdr:cNvPr id="9" name="TextBox 8">
          <a:extLst>
            <a:ext uri="{FF2B5EF4-FFF2-40B4-BE49-F238E27FC236}">
              <a16:creationId xmlns:a16="http://schemas.microsoft.com/office/drawing/2014/main" id="{ED165C8D-F9DC-4087-8A15-915120F03347}"/>
            </a:ext>
          </a:extLst>
        </xdr:cNvPr>
        <xdr:cNvSpPr txBox="1"/>
      </xdr:nvSpPr>
      <xdr:spPr>
        <a:xfrm>
          <a:off x="8069580" y="3268980"/>
          <a:ext cx="218694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b="0"/>
            <a:t>Top</a:t>
          </a:r>
          <a:r>
            <a:rPr lang="en-IN" sz="1800" b="0" baseline="0"/>
            <a:t> Revenue Product</a:t>
          </a:r>
          <a:endParaRPr lang="en-IN" sz="1800" b="0"/>
        </a:p>
      </xdr:txBody>
    </xdr:sp>
    <xdr:clientData/>
  </xdr:twoCellAnchor>
  <xdr:twoCellAnchor>
    <xdr:from>
      <xdr:col>16</xdr:col>
      <xdr:colOff>472440</xdr:colOff>
      <xdr:row>18</xdr:row>
      <xdr:rowOff>0</xdr:rowOff>
    </xdr:from>
    <xdr:to>
      <xdr:col>19</xdr:col>
      <xdr:colOff>434340</xdr:colOff>
      <xdr:row>19</xdr:row>
      <xdr:rowOff>121920</xdr:rowOff>
    </xdr:to>
    <xdr:sp macro="" textlink="">
      <xdr:nvSpPr>
        <xdr:cNvPr id="10" name="TextBox 9">
          <a:extLst>
            <a:ext uri="{FF2B5EF4-FFF2-40B4-BE49-F238E27FC236}">
              <a16:creationId xmlns:a16="http://schemas.microsoft.com/office/drawing/2014/main" id="{B4A66AC6-0DE5-4344-81F0-033E17BE8D3C}"/>
            </a:ext>
          </a:extLst>
        </xdr:cNvPr>
        <xdr:cNvSpPr txBox="1"/>
      </xdr:nvSpPr>
      <xdr:spPr>
        <a:xfrm>
          <a:off x="10226040" y="3291840"/>
          <a:ext cx="1790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Total Customers</a:t>
          </a:r>
        </a:p>
      </xdr:txBody>
    </xdr:sp>
    <xdr:clientData/>
  </xdr:twoCellAnchor>
  <xdr:twoCellAnchor>
    <xdr:from>
      <xdr:col>19</xdr:col>
      <xdr:colOff>457200</xdr:colOff>
      <xdr:row>18</xdr:row>
      <xdr:rowOff>0</xdr:rowOff>
    </xdr:from>
    <xdr:to>
      <xdr:col>23</xdr:col>
      <xdr:colOff>152400</xdr:colOff>
      <xdr:row>19</xdr:row>
      <xdr:rowOff>121920</xdr:rowOff>
    </xdr:to>
    <xdr:sp macro="" textlink="">
      <xdr:nvSpPr>
        <xdr:cNvPr id="11" name="TextBox 10">
          <a:extLst>
            <a:ext uri="{FF2B5EF4-FFF2-40B4-BE49-F238E27FC236}">
              <a16:creationId xmlns:a16="http://schemas.microsoft.com/office/drawing/2014/main" id="{44F1E651-A434-4F0B-8E00-C9B897946473}"/>
            </a:ext>
          </a:extLst>
        </xdr:cNvPr>
        <xdr:cNvSpPr txBox="1"/>
      </xdr:nvSpPr>
      <xdr:spPr>
        <a:xfrm>
          <a:off x="12039600" y="3291840"/>
          <a:ext cx="21336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Avg</a:t>
          </a:r>
          <a:r>
            <a:rPr lang="en-IN" sz="1800" b="0" baseline="0"/>
            <a:t> Delivery Time</a:t>
          </a:r>
          <a:endParaRPr lang="en-IN" sz="1800" b="0"/>
        </a:p>
      </xdr:txBody>
    </xdr:sp>
    <xdr:clientData/>
  </xdr:twoCellAnchor>
  <xdr:twoCellAnchor editAs="oneCell">
    <xdr:from>
      <xdr:col>3</xdr:col>
      <xdr:colOff>45720</xdr:colOff>
      <xdr:row>1</xdr:row>
      <xdr:rowOff>30480</xdr:rowOff>
    </xdr:from>
    <xdr:to>
      <xdr:col>3</xdr:col>
      <xdr:colOff>601980</xdr:colOff>
      <xdr:row>4</xdr:row>
      <xdr:rowOff>38100</xdr:rowOff>
    </xdr:to>
    <xdr:pic>
      <xdr:nvPicPr>
        <xdr:cNvPr id="24" name="Graphic 23" descr="Coins">
          <a:extLst>
            <a:ext uri="{FF2B5EF4-FFF2-40B4-BE49-F238E27FC236}">
              <a16:creationId xmlns:a16="http://schemas.microsoft.com/office/drawing/2014/main" id="{193CDD75-417D-270E-8244-7271B715F3D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874520" y="213360"/>
          <a:ext cx="556260" cy="556260"/>
        </a:xfrm>
        <a:prstGeom prst="rect">
          <a:avLst/>
        </a:prstGeom>
      </xdr:spPr>
    </xdr:pic>
    <xdr:clientData/>
  </xdr:twoCellAnchor>
  <xdr:twoCellAnchor editAs="oneCell">
    <xdr:from>
      <xdr:col>5</xdr:col>
      <xdr:colOff>571500</xdr:colOff>
      <xdr:row>0</xdr:row>
      <xdr:rowOff>167640</xdr:rowOff>
    </xdr:from>
    <xdr:to>
      <xdr:col>7</xdr:col>
      <xdr:colOff>76200</xdr:colOff>
      <xdr:row>4</xdr:row>
      <xdr:rowOff>129540</xdr:rowOff>
    </xdr:to>
    <xdr:pic>
      <xdr:nvPicPr>
        <xdr:cNvPr id="28" name="Graphic 27" descr="Label">
          <a:extLst>
            <a:ext uri="{FF2B5EF4-FFF2-40B4-BE49-F238E27FC236}">
              <a16:creationId xmlns:a16="http://schemas.microsoft.com/office/drawing/2014/main" id="{9ED463DA-C270-D663-F462-B2DB7F9082D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619500" y="167640"/>
          <a:ext cx="723900" cy="693420"/>
        </a:xfrm>
        <a:prstGeom prst="rect">
          <a:avLst/>
        </a:prstGeom>
      </xdr:spPr>
    </xdr:pic>
    <xdr:clientData/>
  </xdr:twoCellAnchor>
  <xdr:twoCellAnchor>
    <xdr:from>
      <xdr:col>9</xdr:col>
      <xdr:colOff>7620</xdr:colOff>
      <xdr:row>0</xdr:row>
      <xdr:rowOff>45720</xdr:rowOff>
    </xdr:from>
    <xdr:to>
      <xdr:col>11</xdr:col>
      <xdr:colOff>525780</xdr:colOff>
      <xdr:row>1</xdr:row>
      <xdr:rowOff>167640</xdr:rowOff>
    </xdr:to>
    <xdr:sp macro="" textlink="">
      <xdr:nvSpPr>
        <xdr:cNvPr id="29" name="TextBox 28">
          <a:extLst>
            <a:ext uri="{FF2B5EF4-FFF2-40B4-BE49-F238E27FC236}">
              <a16:creationId xmlns:a16="http://schemas.microsoft.com/office/drawing/2014/main" id="{8F4A7FFF-D9E8-476A-A438-59A77D225A6C}"/>
            </a:ext>
          </a:extLst>
        </xdr:cNvPr>
        <xdr:cNvSpPr txBox="1"/>
      </xdr:nvSpPr>
      <xdr:spPr>
        <a:xfrm>
          <a:off x="5494020" y="45720"/>
          <a:ext cx="17373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0"/>
            <a:t>Total Orders</a:t>
          </a:r>
        </a:p>
      </xdr:txBody>
    </xdr:sp>
    <xdr:clientData/>
  </xdr:twoCellAnchor>
  <xdr:twoCellAnchor>
    <xdr:from>
      <xdr:col>15</xdr:col>
      <xdr:colOff>373380</xdr:colOff>
      <xdr:row>0</xdr:row>
      <xdr:rowOff>22860</xdr:rowOff>
    </xdr:from>
    <xdr:to>
      <xdr:col>19</xdr:col>
      <xdr:colOff>396240</xdr:colOff>
      <xdr:row>1</xdr:row>
      <xdr:rowOff>144780</xdr:rowOff>
    </xdr:to>
    <xdr:sp macro="" textlink="">
      <xdr:nvSpPr>
        <xdr:cNvPr id="31" name="TextBox 30">
          <a:extLst>
            <a:ext uri="{FF2B5EF4-FFF2-40B4-BE49-F238E27FC236}">
              <a16:creationId xmlns:a16="http://schemas.microsoft.com/office/drawing/2014/main" id="{D3810042-E4C1-4CDF-98D0-09FD5EEFC78F}"/>
            </a:ext>
          </a:extLst>
        </xdr:cNvPr>
        <xdr:cNvSpPr txBox="1"/>
      </xdr:nvSpPr>
      <xdr:spPr>
        <a:xfrm>
          <a:off x="9517380" y="22860"/>
          <a:ext cx="24612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b="0">
              <a:solidFill>
                <a:schemeClr val="dk1"/>
              </a:solidFill>
              <a:effectLst/>
              <a:latin typeface="+mn-lt"/>
              <a:ea typeface="+mn-ea"/>
              <a:cs typeface="+mn-cs"/>
            </a:rPr>
            <a:t>Post-Discount</a:t>
          </a:r>
          <a:r>
            <a:rPr lang="en-IN" sz="1800" b="0" baseline="0">
              <a:solidFill>
                <a:schemeClr val="dk1"/>
              </a:solidFill>
              <a:effectLst/>
              <a:latin typeface="+mn-lt"/>
              <a:ea typeface="+mn-ea"/>
              <a:cs typeface="+mn-cs"/>
            </a:rPr>
            <a:t> Avg Sales</a:t>
          </a:r>
          <a:endParaRPr lang="en-IN" sz="1800">
            <a:effectLst/>
          </a:endParaRPr>
        </a:p>
        <a:p>
          <a:pPr algn="ctr"/>
          <a:endParaRPr lang="en-IN" sz="1800" b="0"/>
        </a:p>
      </xdr:txBody>
    </xdr:sp>
    <xdr:clientData/>
  </xdr:twoCellAnchor>
  <xdr:twoCellAnchor>
    <xdr:from>
      <xdr:col>11</xdr:col>
      <xdr:colOff>601980</xdr:colOff>
      <xdr:row>0</xdr:row>
      <xdr:rowOff>45720</xdr:rowOff>
    </xdr:from>
    <xdr:to>
      <xdr:col>15</xdr:col>
      <xdr:colOff>480060</xdr:colOff>
      <xdr:row>1</xdr:row>
      <xdr:rowOff>167640</xdr:rowOff>
    </xdr:to>
    <xdr:sp macro="" textlink="">
      <xdr:nvSpPr>
        <xdr:cNvPr id="32" name="TextBox 31">
          <a:extLst>
            <a:ext uri="{FF2B5EF4-FFF2-40B4-BE49-F238E27FC236}">
              <a16:creationId xmlns:a16="http://schemas.microsoft.com/office/drawing/2014/main" id="{EE55CACE-61F8-49C0-AEE7-AE79AD2BA194}"/>
            </a:ext>
          </a:extLst>
        </xdr:cNvPr>
        <xdr:cNvSpPr txBox="1"/>
      </xdr:nvSpPr>
      <xdr:spPr>
        <a:xfrm>
          <a:off x="7307580" y="45720"/>
          <a:ext cx="231648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b="0">
              <a:solidFill>
                <a:schemeClr val="dk1"/>
              </a:solidFill>
              <a:effectLst/>
              <a:latin typeface="+mn-lt"/>
              <a:ea typeface="+mn-ea"/>
              <a:cs typeface="+mn-cs"/>
            </a:rPr>
            <a:t>Pre-Discount</a:t>
          </a:r>
          <a:r>
            <a:rPr lang="en-IN" sz="1800" b="0" baseline="0">
              <a:solidFill>
                <a:schemeClr val="dk1"/>
              </a:solidFill>
              <a:effectLst/>
              <a:latin typeface="+mn-lt"/>
              <a:ea typeface="+mn-ea"/>
              <a:cs typeface="+mn-cs"/>
            </a:rPr>
            <a:t> Avg Sales</a:t>
          </a:r>
          <a:endParaRPr lang="en-IN" sz="1800" b="0"/>
        </a:p>
      </xdr:txBody>
    </xdr:sp>
    <xdr:clientData/>
  </xdr:twoCellAnchor>
  <xdr:twoCellAnchor editAs="oneCell">
    <xdr:from>
      <xdr:col>9</xdr:col>
      <xdr:colOff>0</xdr:colOff>
      <xdr:row>0</xdr:row>
      <xdr:rowOff>160020</xdr:rowOff>
    </xdr:from>
    <xdr:to>
      <xdr:col>9</xdr:col>
      <xdr:colOff>594360</xdr:colOff>
      <xdr:row>4</xdr:row>
      <xdr:rowOff>68580</xdr:rowOff>
    </xdr:to>
    <xdr:pic>
      <xdr:nvPicPr>
        <xdr:cNvPr id="39" name="Graphic 38" descr="Box">
          <a:extLst>
            <a:ext uri="{FF2B5EF4-FFF2-40B4-BE49-F238E27FC236}">
              <a16:creationId xmlns:a16="http://schemas.microsoft.com/office/drawing/2014/main" id="{3DAA872E-F2F1-4ACB-E927-61EA31B6A3EB}"/>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486400" y="160020"/>
          <a:ext cx="594360" cy="640080"/>
        </a:xfrm>
        <a:prstGeom prst="rect">
          <a:avLst/>
        </a:prstGeom>
      </xdr:spPr>
    </xdr:pic>
    <xdr:clientData/>
  </xdr:twoCellAnchor>
  <xdr:twoCellAnchor editAs="oneCell">
    <xdr:from>
      <xdr:col>12</xdr:col>
      <xdr:colOff>7620</xdr:colOff>
      <xdr:row>1</xdr:row>
      <xdr:rowOff>167640</xdr:rowOff>
    </xdr:from>
    <xdr:to>
      <xdr:col>12</xdr:col>
      <xdr:colOff>457200</xdr:colOff>
      <xdr:row>4</xdr:row>
      <xdr:rowOff>68580</xdr:rowOff>
    </xdr:to>
    <xdr:pic>
      <xdr:nvPicPr>
        <xdr:cNvPr id="41" name="Graphic 40" descr="Upward trend">
          <a:extLst>
            <a:ext uri="{FF2B5EF4-FFF2-40B4-BE49-F238E27FC236}">
              <a16:creationId xmlns:a16="http://schemas.microsoft.com/office/drawing/2014/main" id="{BCD32DB4-D838-4E7E-5F46-1EB207344C9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7322820" y="350520"/>
          <a:ext cx="449580" cy="449580"/>
        </a:xfrm>
        <a:prstGeom prst="rect">
          <a:avLst/>
        </a:prstGeom>
      </xdr:spPr>
    </xdr:pic>
    <xdr:clientData/>
  </xdr:twoCellAnchor>
  <xdr:twoCellAnchor editAs="oneCell">
    <xdr:from>
      <xdr:col>15</xdr:col>
      <xdr:colOff>487680</xdr:colOff>
      <xdr:row>1</xdr:row>
      <xdr:rowOff>137160</xdr:rowOff>
    </xdr:from>
    <xdr:to>
      <xdr:col>16</xdr:col>
      <xdr:colOff>388620</xdr:colOff>
      <xdr:row>4</xdr:row>
      <xdr:rowOff>99060</xdr:rowOff>
    </xdr:to>
    <xdr:pic>
      <xdr:nvPicPr>
        <xdr:cNvPr id="43" name="Graphic 42" descr="Bar graph with upward trend">
          <a:extLst>
            <a:ext uri="{FF2B5EF4-FFF2-40B4-BE49-F238E27FC236}">
              <a16:creationId xmlns:a16="http://schemas.microsoft.com/office/drawing/2014/main" id="{97DBE5FA-348C-4A8E-43D4-43BD68836434}"/>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631680" y="320040"/>
          <a:ext cx="510540" cy="510540"/>
        </a:xfrm>
        <a:prstGeom prst="rect">
          <a:avLst/>
        </a:prstGeom>
      </xdr:spPr>
    </xdr:pic>
    <xdr:clientData/>
  </xdr:twoCellAnchor>
  <xdr:twoCellAnchor editAs="oneCell">
    <xdr:from>
      <xdr:col>19</xdr:col>
      <xdr:colOff>350520</xdr:colOff>
      <xdr:row>1</xdr:row>
      <xdr:rowOff>129540</xdr:rowOff>
    </xdr:from>
    <xdr:to>
      <xdr:col>20</xdr:col>
      <xdr:colOff>228600</xdr:colOff>
      <xdr:row>4</xdr:row>
      <xdr:rowOff>68580</xdr:rowOff>
    </xdr:to>
    <xdr:pic>
      <xdr:nvPicPr>
        <xdr:cNvPr id="47" name="Graphic 46" descr="Bullseye">
          <a:extLst>
            <a:ext uri="{FF2B5EF4-FFF2-40B4-BE49-F238E27FC236}">
              <a16:creationId xmlns:a16="http://schemas.microsoft.com/office/drawing/2014/main" id="{03B43673-1CA6-C1B8-9583-0E18A8865E8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1932920" y="312420"/>
          <a:ext cx="487680" cy="487680"/>
        </a:xfrm>
        <a:prstGeom prst="rect">
          <a:avLst/>
        </a:prstGeom>
      </xdr:spPr>
    </xdr:pic>
    <xdr:clientData/>
  </xdr:twoCellAnchor>
  <xdr:twoCellAnchor editAs="oneCell">
    <xdr:from>
      <xdr:col>16</xdr:col>
      <xdr:colOff>533400</xdr:colOff>
      <xdr:row>19</xdr:row>
      <xdr:rowOff>83820</xdr:rowOff>
    </xdr:from>
    <xdr:to>
      <xdr:col>17</xdr:col>
      <xdr:colOff>510540</xdr:colOff>
      <xdr:row>22</xdr:row>
      <xdr:rowOff>129540</xdr:rowOff>
    </xdr:to>
    <xdr:pic>
      <xdr:nvPicPr>
        <xdr:cNvPr id="49" name="Graphic 48" descr="Meeting">
          <a:extLst>
            <a:ext uri="{FF2B5EF4-FFF2-40B4-BE49-F238E27FC236}">
              <a16:creationId xmlns:a16="http://schemas.microsoft.com/office/drawing/2014/main" id="{9F72A139-ED64-5991-78BC-2524DC35EF0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0287000" y="3558540"/>
          <a:ext cx="586740" cy="594360"/>
        </a:xfrm>
        <a:prstGeom prst="rect">
          <a:avLst/>
        </a:prstGeom>
      </xdr:spPr>
    </xdr:pic>
    <xdr:clientData/>
  </xdr:twoCellAnchor>
  <xdr:twoCellAnchor editAs="oneCell">
    <xdr:from>
      <xdr:col>9</xdr:col>
      <xdr:colOff>502920</xdr:colOff>
      <xdr:row>18</xdr:row>
      <xdr:rowOff>121920</xdr:rowOff>
    </xdr:from>
    <xdr:to>
      <xdr:col>11</xdr:col>
      <xdr:colOff>68580</xdr:colOff>
      <xdr:row>22</xdr:row>
      <xdr:rowOff>30480</xdr:rowOff>
    </xdr:to>
    <xdr:pic>
      <xdr:nvPicPr>
        <xdr:cNvPr id="52" name="Graphic 51" descr="Box">
          <a:extLst>
            <a:ext uri="{FF2B5EF4-FFF2-40B4-BE49-F238E27FC236}">
              <a16:creationId xmlns:a16="http://schemas.microsoft.com/office/drawing/2014/main" id="{D565DD05-8C56-440C-AA4D-2FC5D4DAABC5}"/>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989320" y="3413760"/>
          <a:ext cx="784860" cy="640080"/>
        </a:xfrm>
        <a:prstGeom prst="rect">
          <a:avLst/>
        </a:prstGeom>
      </xdr:spPr>
    </xdr:pic>
    <xdr:clientData/>
  </xdr:twoCellAnchor>
  <xdr:twoCellAnchor editAs="oneCell">
    <xdr:from>
      <xdr:col>13</xdr:col>
      <xdr:colOff>137160</xdr:colOff>
      <xdr:row>19</xdr:row>
      <xdr:rowOff>38100</xdr:rowOff>
    </xdr:from>
    <xdr:to>
      <xdr:col>14</xdr:col>
      <xdr:colOff>220980</xdr:colOff>
      <xdr:row>22</xdr:row>
      <xdr:rowOff>91440</xdr:rowOff>
    </xdr:to>
    <xdr:pic>
      <xdr:nvPicPr>
        <xdr:cNvPr id="53" name="Graphic 52" descr="Coins">
          <a:extLst>
            <a:ext uri="{FF2B5EF4-FFF2-40B4-BE49-F238E27FC236}">
              <a16:creationId xmlns:a16="http://schemas.microsoft.com/office/drawing/2014/main" id="{1783DEC5-E5A9-4169-8492-70E9E0DEF42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061960" y="3512820"/>
          <a:ext cx="693420" cy="601980"/>
        </a:xfrm>
        <a:prstGeom prst="rect">
          <a:avLst/>
        </a:prstGeom>
      </xdr:spPr>
    </xdr:pic>
    <xdr:clientData/>
  </xdr:twoCellAnchor>
  <xdr:twoCellAnchor editAs="oneCell">
    <xdr:from>
      <xdr:col>19</xdr:col>
      <xdr:colOff>0</xdr:colOff>
      <xdr:row>45</xdr:row>
      <xdr:rowOff>0</xdr:rowOff>
    </xdr:from>
    <xdr:to>
      <xdr:col>19</xdr:col>
      <xdr:colOff>304800</xdr:colOff>
      <xdr:row>46</xdr:row>
      <xdr:rowOff>121920</xdr:rowOff>
    </xdr:to>
    <xdr:sp macro="" textlink="">
      <xdr:nvSpPr>
        <xdr:cNvPr id="1026" name="AutoShape 2" descr="Speedy delivery with time precision">
          <a:extLst>
            <a:ext uri="{FF2B5EF4-FFF2-40B4-BE49-F238E27FC236}">
              <a16:creationId xmlns:a16="http://schemas.microsoft.com/office/drawing/2014/main" id="{1673261A-F3D6-6135-DDB2-692D403498AB}"/>
            </a:ext>
          </a:extLst>
        </xdr:cNvPr>
        <xdr:cNvSpPr>
          <a:spLocks noChangeAspect="1" noChangeArrowheads="1"/>
        </xdr:cNvSpPr>
      </xdr:nvSpPr>
      <xdr:spPr bwMode="auto">
        <a:xfrm>
          <a:off x="11582400" y="822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45</xdr:row>
      <xdr:rowOff>0</xdr:rowOff>
    </xdr:from>
    <xdr:to>
      <xdr:col>19</xdr:col>
      <xdr:colOff>304800</xdr:colOff>
      <xdr:row>46</xdr:row>
      <xdr:rowOff>121920</xdr:rowOff>
    </xdr:to>
    <xdr:sp macro="" textlink="">
      <xdr:nvSpPr>
        <xdr:cNvPr id="1027" name="AutoShape 3" descr="Speedy delivery with time precision">
          <a:extLst>
            <a:ext uri="{FF2B5EF4-FFF2-40B4-BE49-F238E27FC236}">
              <a16:creationId xmlns:a16="http://schemas.microsoft.com/office/drawing/2014/main" id="{78179D29-914B-ED9C-8AE6-B57FBC5FE97B}"/>
            </a:ext>
          </a:extLst>
        </xdr:cNvPr>
        <xdr:cNvSpPr>
          <a:spLocks noChangeAspect="1" noChangeArrowheads="1"/>
        </xdr:cNvSpPr>
      </xdr:nvSpPr>
      <xdr:spPr bwMode="auto">
        <a:xfrm>
          <a:off x="11582400" y="822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510541</xdr:colOff>
      <xdr:row>19</xdr:row>
      <xdr:rowOff>160020</xdr:rowOff>
    </xdr:from>
    <xdr:to>
      <xdr:col>20</xdr:col>
      <xdr:colOff>525781</xdr:colOff>
      <xdr:row>22</xdr:row>
      <xdr:rowOff>7620</xdr:rowOff>
    </xdr:to>
    <xdr:pic>
      <xdr:nvPicPr>
        <xdr:cNvPr id="58" name="Picture 57">
          <a:extLst>
            <a:ext uri="{FF2B5EF4-FFF2-40B4-BE49-F238E27FC236}">
              <a16:creationId xmlns:a16="http://schemas.microsoft.com/office/drawing/2014/main" id="{7F0DB31A-41CD-4699-A38B-4642DF1CE273}"/>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2092941" y="3634740"/>
          <a:ext cx="624840" cy="3962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266700</xdr:colOff>
      <xdr:row>19</xdr:row>
      <xdr:rowOff>121920</xdr:rowOff>
    </xdr:from>
    <xdr:to>
      <xdr:col>23</xdr:col>
      <xdr:colOff>7620</xdr:colOff>
      <xdr:row>22</xdr:row>
      <xdr:rowOff>0</xdr:rowOff>
    </xdr:to>
    <xdr:sp macro="" textlink="">
      <xdr:nvSpPr>
        <xdr:cNvPr id="5" name="TextBox 4">
          <a:extLst>
            <a:ext uri="{FF2B5EF4-FFF2-40B4-BE49-F238E27FC236}">
              <a16:creationId xmlns:a16="http://schemas.microsoft.com/office/drawing/2014/main" id="{991C51CC-66D4-4388-B3A8-A31024309C8F}"/>
            </a:ext>
          </a:extLst>
        </xdr:cNvPr>
        <xdr:cNvSpPr txBox="1"/>
      </xdr:nvSpPr>
      <xdr:spPr>
        <a:xfrm>
          <a:off x="12458700" y="3596640"/>
          <a:ext cx="156972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2400" b="0"/>
            <a:t> Days</a:t>
          </a:r>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0.15989</cdr:x>
      <cdr:y>0</cdr:y>
    </cdr:from>
    <cdr:to>
      <cdr:x>0.84071</cdr:x>
      <cdr:y>0.15498</cdr:y>
    </cdr:to>
    <cdr:pic>
      <cdr:nvPicPr>
        <cdr:cNvPr id="3" name="chart">
          <a:extLst xmlns:a="http://schemas.openxmlformats.org/drawingml/2006/main">
            <a:ext uri="{FF2B5EF4-FFF2-40B4-BE49-F238E27FC236}">
              <a16:creationId xmlns:a16="http://schemas.microsoft.com/office/drawing/2014/main" id="{2DA59EFE-32CE-F00A-24AD-265F2812941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449576" y="0"/>
          <a:ext cx="1914316" cy="320040"/>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va" refreshedDate="46105.90113888889" createdVersion="8" refreshedVersion="8" minRefreshableVersion="3" recordCount="500" xr:uid="{B1DD979A-F2C7-4AE2-9193-D593F573AC0A}">
  <cacheSource type="worksheet">
    <worksheetSource ref="A1:AA501" sheet="Augmented_Data"/>
  </cacheSource>
  <cacheFields count="27">
    <cacheField name="Customer_ID" numFmtId="0">
      <sharedItems count="101">
        <s v="CID186"/>
        <s v="CID150"/>
        <s v="CID115"/>
        <s v="CID149"/>
        <s v="CID159"/>
        <s v="CID198"/>
        <s v="CID152"/>
        <s v="CID130"/>
        <s v="CID101"/>
        <s v="CID105"/>
        <s v="CID172"/>
        <s v="CID178"/>
        <s v="CID176"/>
        <s v="CID148"/>
        <s v="CID137"/>
        <s v="CID147"/>
        <s v="CID128"/>
        <s v="CID168"/>
        <s v="CID179"/>
        <s v="CID163"/>
        <s v="CID182"/>
        <s v="CID158"/>
        <s v="CID193"/>
        <s v="CID166"/>
        <s v="CID191"/>
        <s v="CID108"/>
        <s v="CID161"/>
        <s v="CID190"/>
        <s v="CID120"/>
        <s v="CID155"/>
        <s v="CID121"/>
        <s v="CID133"/>
        <s v="CID169"/>
        <s v="CID132"/>
        <s v="CID180"/>
        <s v="CID184"/>
        <s v="CID187"/>
        <s v="CID181"/>
        <s v="CID116"/>
        <s v="CID135"/>
        <s v="CID165"/>
        <s v="CID126"/>
        <s v="CID111"/>
        <s v="CID129"/>
        <s v="CID199"/>
        <s v="CID134"/>
        <s v="CID136"/>
        <s v="CID153"/>
        <s v="CID100"/>
        <s v="CID195"/>
        <s v="CID175"/>
        <s v="CID103"/>
        <s v="CID192"/>
        <s v="CID174"/>
        <s v="CID145"/>
        <s v="CID144"/>
        <s v="CID125"/>
        <s v="CID139"/>
        <s v="CID118"/>
        <s v="CID140"/>
        <s v="CID123"/>
        <s v="CID183"/>
        <s v="CID143"/>
        <s v="CID156"/>
        <s v="CID170"/>
        <s v="CID107"/>
        <s v="CID185"/>
        <s v="CID194"/>
        <s v="CID188"/>
        <s v="CID112"/>
        <s v="CID124"/>
        <s v="CID160"/>
        <s v="CID171"/>
        <s v="CID173"/>
        <s v="CID119"/>
        <s v="CID109"/>
        <s v="CID127"/>
        <s v="CID189"/>
        <s v="CID162"/>
        <s v="CID104"/>
        <s v="CID138"/>
        <s v="CID142"/>
        <s v="CID113"/>
        <s v="CID102"/>
        <s v="CID117"/>
        <s v="CID154"/>
        <s v="CID141"/>
        <s v="CID122"/>
        <s v="CID131"/>
        <s v="CID157"/>
        <s v="CID164"/>
        <s v="CID151"/>
        <s v="CID114"/>
        <s v="CID110"/>
        <s v="CID196"/>
        <s v="CID177"/>
        <s v="CID106"/>
        <s v="CID197"/>
        <s v="CID146"/>
        <s v="CID167"/>
        <s v="Formula1" f="1"/>
      </sharedItems>
    </cacheField>
    <cacheField name="Full_Name" numFmtId="0">
      <sharedItems/>
    </cacheField>
    <cacheField name="First_Name" numFmtId="0">
      <sharedItems/>
    </cacheField>
    <cacheField name="Last_Name" numFmtId="0">
      <sharedItems/>
    </cacheField>
    <cacheField name="Age" numFmtId="0">
      <sharedItems containsSemiMixedTypes="0" containsString="0" containsNumber="1" containsInteger="1" minValue="18" maxValue="70"/>
    </cacheField>
    <cacheField name="Gender" numFmtId="0">
      <sharedItems count="3">
        <s v="Male"/>
        <s v="Female"/>
        <s v="Other"/>
      </sharedItems>
    </cacheField>
    <cacheField name="City" numFmtId="0">
      <sharedItems count="8">
        <s v="Phoenix"/>
        <s v="Houston"/>
        <s v="New York"/>
        <s v="Los Angeles"/>
        <s v="Miami"/>
        <s v="Chicago"/>
        <s v="San Francisco"/>
        <s v="Dallas"/>
      </sharedItems>
    </cacheField>
    <cacheField name="Email" numFmtId="0">
      <sharedItems/>
    </cacheField>
    <cacheField name="Address" numFmtId="0">
      <sharedItems/>
    </cacheField>
    <cacheField name="Order_ID" numFmtId="0">
      <sharedItems/>
    </cacheField>
    <cacheField name="Order_Date" numFmtId="164">
      <sharedItems containsSemiMixedTypes="0" containsNonDate="0" containsDate="1" containsString="0" minDate="2023-02-09T00:00:00" maxDate="2025-02-08T00:00:00" count="365">
        <d v="2024-03-07T00:00:00"/>
        <d v="2024-03-27T00:00:00"/>
        <d v="2024-02-20T00:00:00"/>
        <d v="2024-05-14T00:00:00"/>
        <d v="2024-04-09T00:00:00"/>
        <d v="2024-09-08T00:00:00"/>
        <d v="2025-01-05T00:00:00"/>
        <d v="2024-06-16T00:00:00"/>
        <d v="2023-04-24T00:00:00"/>
        <d v="2023-12-22T00:00:00"/>
        <d v="2024-10-23T00:00:00"/>
        <d v="2024-07-25T00:00:00"/>
        <d v="2023-03-12T00:00:00"/>
        <d v="2023-12-07T00:00:00"/>
        <d v="2024-03-26T00:00:00"/>
        <d v="2023-06-02T00:00:00"/>
        <d v="2023-02-09T00:00:00"/>
        <d v="2024-09-07T00:00:00"/>
        <d v="2025-01-08T00:00:00"/>
        <d v="2024-09-21T00:00:00"/>
        <d v="2024-08-16T00:00:00"/>
        <d v="2024-03-01T00:00:00"/>
        <d v="2023-07-18T00:00:00"/>
        <d v="2023-09-25T00:00:00"/>
        <d v="2023-08-08T00:00:00"/>
        <d v="2023-07-31T00:00:00"/>
        <d v="2023-05-20T00:00:00"/>
        <d v="2023-09-16T00:00:00"/>
        <d v="2023-03-02T00:00:00"/>
        <d v="2023-10-25T00:00:00"/>
        <d v="2024-04-07T00:00:00"/>
        <d v="2023-04-23T00:00:00"/>
        <d v="2024-09-13T00:00:00"/>
        <d v="2024-04-25T00:00:00"/>
        <d v="2023-08-30T00:00:00"/>
        <d v="2023-11-14T00:00:00"/>
        <d v="2023-11-12T00:00:00"/>
        <d v="2023-09-24T00:00:00"/>
        <d v="2024-12-30T00:00:00"/>
        <d v="2024-10-09T00:00:00"/>
        <d v="2024-09-22T00:00:00"/>
        <d v="2024-10-03T00:00:00"/>
        <d v="2023-08-13T00:00:00"/>
        <d v="2023-04-04T00:00:00"/>
        <d v="2024-02-14T00:00:00"/>
        <d v="2024-01-22T00:00:00"/>
        <d v="2023-05-08T00:00:00"/>
        <d v="2024-11-24T00:00:00"/>
        <d v="2024-09-10T00:00:00"/>
        <d v="2024-03-14T00:00:00"/>
        <d v="2023-08-07T00:00:00"/>
        <d v="2024-01-21T00:00:00"/>
        <d v="2024-11-03T00:00:00"/>
        <d v="2023-10-30T00:00:00"/>
        <d v="2023-08-11T00:00:00"/>
        <d v="2023-10-14T00:00:00"/>
        <d v="2024-12-29T00:00:00"/>
        <d v="2023-02-15T00:00:00"/>
        <d v="2024-05-23T00:00:00"/>
        <d v="2023-03-17T00:00:00"/>
        <d v="2025-01-23T00:00:00"/>
        <d v="2024-12-03T00:00:00"/>
        <d v="2024-02-24T00:00:00"/>
        <d v="2024-07-30T00:00:00"/>
        <d v="2024-06-08T00:00:00"/>
        <d v="2024-01-31T00:00:00"/>
        <d v="2023-12-17T00:00:00"/>
        <d v="2024-10-21T00:00:00"/>
        <d v="2024-10-02T00:00:00"/>
        <d v="2024-07-22T00:00:00"/>
        <d v="2024-03-04T00:00:00"/>
        <d v="2023-07-25T00:00:00"/>
        <d v="2024-12-24T00:00:00"/>
        <d v="2023-04-25T00:00:00"/>
        <d v="2025-01-26T00:00:00"/>
        <d v="2024-05-31T00:00:00"/>
        <d v="2025-01-18T00:00:00"/>
        <d v="2024-08-21T00:00:00"/>
        <d v="2024-11-29T00:00:00"/>
        <d v="2024-08-01T00:00:00"/>
        <d v="2023-11-22T00:00:00"/>
        <d v="2024-10-30T00:00:00"/>
        <d v="2023-10-28T00:00:00"/>
        <d v="2023-05-30T00:00:00"/>
        <d v="2024-09-20T00:00:00"/>
        <d v="2024-01-16T00:00:00"/>
        <d v="2024-07-31T00:00:00"/>
        <d v="2024-07-15T00:00:00"/>
        <d v="2023-07-11T00:00:00"/>
        <d v="2023-09-14T00:00:00"/>
        <d v="2025-01-16T00:00:00"/>
        <d v="2024-01-30T00:00:00"/>
        <d v="2023-10-04T00:00:00"/>
        <d v="2024-12-10T00:00:00"/>
        <d v="2023-08-27T00:00:00"/>
        <d v="2024-07-11T00:00:00"/>
        <d v="2023-07-06T00:00:00"/>
        <d v="2024-08-26T00:00:00"/>
        <d v="2024-05-20T00:00:00"/>
        <d v="2024-05-15T00:00:00"/>
        <d v="2023-04-05T00:00:00"/>
        <d v="2023-03-20T00:00:00"/>
        <d v="2024-04-24T00:00:00"/>
        <d v="2024-04-15T00:00:00"/>
        <d v="2023-12-16T00:00:00"/>
        <d v="2023-07-24T00:00:00"/>
        <d v="2023-08-18T00:00:00"/>
        <d v="2023-04-07T00:00:00"/>
        <d v="2023-06-29T00:00:00"/>
        <d v="2023-03-18T00:00:00"/>
        <d v="2024-07-26T00:00:00"/>
        <d v="2024-02-13T00:00:00"/>
        <d v="2023-09-17T00:00:00"/>
        <d v="2025-01-10T00:00:00"/>
        <d v="2024-06-07T00:00:00"/>
        <d v="2024-11-02T00:00:00"/>
        <d v="2024-10-24T00:00:00"/>
        <d v="2025-02-01T00:00:00"/>
        <d v="2023-06-17T00:00:00"/>
        <d v="2023-12-21T00:00:00"/>
        <d v="2023-02-22T00:00:00"/>
        <d v="2025-01-06T00:00:00"/>
        <d v="2023-10-27T00:00:00"/>
        <d v="2023-11-19T00:00:00"/>
        <d v="2024-02-09T00:00:00"/>
        <d v="2023-07-01T00:00:00"/>
        <d v="2023-12-23T00:00:00"/>
        <d v="2024-09-02T00:00:00"/>
        <d v="2024-11-13T00:00:00"/>
        <d v="2024-10-11T00:00:00"/>
        <d v="2023-09-30T00:00:00"/>
        <d v="2025-01-20T00:00:00"/>
        <d v="2024-10-16T00:00:00"/>
        <d v="2023-02-26T00:00:00"/>
        <d v="2023-03-04T00:00:00"/>
        <d v="2023-11-21T00:00:00"/>
        <d v="2023-10-01T00:00:00"/>
        <d v="2024-02-08T00:00:00"/>
        <d v="2023-07-22T00:00:00"/>
        <d v="2024-10-19T00:00:00"/>
        <d v="2023-12-31T00:00:00"/>
        <d v="2024-07-09T00:00:00"/>
        <d v="2023-06-12T00:00:00"/>
        <d v="2024-11-14T00:00:00"/>
        <d v="2023-04-29T00:00:00"/>
        <d v="2024-08-25T00:00:00"/>
        <d v="2024-08-31T00:00:00"/>
        <d v="2023-02-24T00:00:00"/>
        <d v="2023-10-08T00:00:00"/>
        <d v="2024-08-09T00:00:00"/>
        <d v="2024-09-15T00:00:00"/>
        <d v="2023-07-13T00:00:00"/>
        <d v="2024-10-26T00:00:00"/>
        <d v="2024-09-26T00:00:00"/>
        <d v="2023-05-05T00:00:00"/>
        <d v="2024-01-27T00:00:00"/>
        <d v="2024-08-04T00:00:00"/>
        <d v="2024-10-15T00:00:00"/>
        <d v="2024-07-05T00:00:00"/>
        <d v="2023-03-25T00:00:00"/>
        <d v="2024-06-14T00:00:00"/>
        <d v="2024-02-21T00:00:00"/>
        <d v="2023-06-18T00:00:00"/>
        <d v="2024-12-25T00:00:00"/>
        <d v="2024-06-12T00:00:00"/>
        <d v="2023-06-22T00:00:00"/>
        <d v="2023-05-14T00:00:00"/>
        <d v="2023-05-23T00:00:00"/>
        <d v="2023-04-20T00:00:00"/>
        <d v="2023-10-09T00:00:00"/>
        <d v="2023-11-11T00:00:00"/>
        <d v="2023-11-23T00:00:00"/>
        <d v="2024-08-19T00:00:00"/>
        <d v="2024-07-08T00:00:00"/>
        <d v="2023-05-07T00:00:00"/>
        <d v="2024-01-29T00:00:00"/>
        <d v="2023-05-28T00:00:00"/>
        <d v="2023-12-25T00:00:00"/>
        <d v="2023-03-16T00:00:00"/>
        <d v="2024-02-17T00:00:00"/>
        <d v="2024-02-27T00:00:00"/>
        <d v="2024-09-14T00:00:00"/>
        <d v="2023-07-05T00:00:00"/>
        <d v="2023-12-11T00:00:00"/>
        <d v="2024-10-13T00:00:00"/>
        <d v="2024-09-06T00:00:00"/>
        <d v="2024-04-26T00:00:00"/>
        <d v="2023-06-28T00:00:00"/>
        <d v="2023-10-18T00:00:00"/>
        <d v="2023-08-24T00:00:00"/>
        <d v="2023-12-13T00:00:00"/>
        <d v="2023-07-10T00:00:00"/>
        <d v="2024-04-10T00:00:00"/>
        <d v="2024-02-26T00:00:00"/>
        <d v="2023-11-27T00:00:00"/>
        <d v="2024-04-08T00:00:00"/>
        <d v="2023-07-02T00:00:00"/>
        <d v="2024-11-20T00:00:00"/>
        <d v="2024-05-05T00:00:00"/>
        <d v="2024-06-27T00:00:00"/>
        <d v="2023-02-11T00:00:00"/>
        <d v="2024-06-10T00:00:00"/>
        <d v="2024-11-12T00:00:00"/>
        <d v="2024-04-04T00:00:00"/>
        <d v="2024-08-27T00:00:00"/>
        <d v="2024-04-01T00:00:00"/>
        <d v="2023-11-03T00:00:00"/>
        <d v="2025-01-11T00:00:00"/>
        <d v="2025-01-02T00:00:00"/>
        <d v="2024-08-08T00:00:00"/>
        <d v="2024-04-11T00:00:00"/>
        <d v="2023-09-19T00:00:00"/>
        <d v="2023-04-10T00:00:00"/>
        <d v="2024-06-11T00:00:00"/>
        <d v="2024-09-12T00:00:00"/>
        <d v="2023-03-11T00:00:00"/>
        <d v="2025-01-15T00:00:00"/>
        <d v="2024-03-15T00:00:00"/>
        <d v="2024-02-29T00:00:00"/>
        <d v="2023-06-06T00:00:00"/>
        <d v="2024-05-16T00:00:00"/>
        <d v="2023-03-27T00:00:00"/>
        <d v="2024-02-10T00:00:00"/>
        <d v="2024-05-10T00:00:00"/>
        <d v="2023-04-01T00:00:00"/>
        <d v="2023-10-02T00:00:00"/>
        <d v="2024-08-18T00:00:00"/>
        <d v="2023-06-13T00:00:00"/>
        <d v="2023-05-03T00:00:00"/>
        <d v="2025-01-19T00:00:00"/>
        <d v="2023-06-15T00:00:00"/>
        <d v="2023-04-08T00:00:00"/>
        <d v="2023-05-12T00:00:00"/>
        <d v="2024-05-02T00:00:00"/>
        <d v="2024-08-23T00:00:00"/>
        <d v="2023-08-19T00:00:00"/>
        <d v="2023-06-27T00:00:00"/>
        <d v="2024-09-28T00:00:00"/>
        <d v="2023-12-19T00:00:00"/>
        <d v="2023-10-07T00:00:00"/>
        <d v="2024-02-02T00:00:00"/>
        <d v="2023-12-12T00:00:00"/>
        <d v="2025-01-14T00:00:00"/>
        <d v="2023-05-18T00:00:00"/>
        <d v="2023-02-16T00:00:00"/>
        <d v="2024-08-11T00:00:00"/>
        <d v="2023-02-19T00:00:00"/>
        <d v="2025-01-27T00:00:00"/>
        <d v="2024-04-18T00:00:00"/>
        <d v="2023-08-05T00:00:00"/>
        <d v="2023-10-12T00:00:00"/>
        <d v="2023-08-09T00:00:00"/>
        <d v="2024-12-11T00:00:00"/>
        <d v="2024-07-06T00:00:00"/>
        <d v="2024-07-28T00:00:00"/>
        <d v="2023-06-30T00:00:00"/>
        <d v="2024-05-08T00:00:00"/>
        <d v="2023-09-26T00:00:00"/>
        <d v="2024-10-08T00:00:00"/>
        <d v="2024-04-02T00:00:00"/>
        <d v="2024-04-06T00:00:00"/>
        <d v="2024-11-27T00:00:00"/>
        <d v="2023-12-29T00:00:00"/>
        <d v="2023-07-15T00:00:00"/>
        <d v="2024-12-01T00:00:00"/>
        <d v="2023-08-10T00:00:00"/>
        <d v="2025-01-25T00:00:00"/>
        <d v="2024-05-11T00:00:00"/>
        <d v="2024-01-12T00:00:00"/>
        <d v="2025-01-09T00:00:00"/>
        <d v="2023-06-08T00:00:00"/>
        <d v="2023-04-12T00:00:00"/>
        <d v="2024-04-05T00:00:00"/>
        <d v="2024-07-23T00:00:00"/>
        <d v="2023-09-18T00:00:00"/>
        <d v="2023-09-21T00:00:00"/>
        <d v="2023-02-25T00:00:00"/>
        <d v="2024-07-01T00:00:00"/>
        <d v="2024-11-04T00:00:00"/>
        <d v="2024-09-18T00:00:00"/>
        <d v="2023-05-13T00:00:00"/>
        <d v="2023-03-22T00:00:00"/>
        <d v="2025-01-21T00:00:00"/>
        <d v="2023-02-21T00:00:00"/>
        <d v="2024-05-09T00:00:00"/>
        <d v="2023-10-26T00:00:00"/>
        <d v="2024-06-30T00:00:00"/>
        <d v="2023-02-18T00:00:00"/>
        <d v="2024-07-12T00:00:00"/>
        <d v="2023-03-21T00:00:00"/>
        <d v="2024-11-26T00:00:00"/>
        <d v="2024-06-03T00:00:00"/>
        <d v="2023-11-17T00:00:00"/>
        <d v="2023-11-08T00:00:00"/>
        <d v="2023-12-10T00:00:00"/>
        <d v="2023-11-13T00:00:00"/>
        <d v="2023-12-04T00:00:00"/>
        <d v="2024-04-22T00:00:00"/>
        <d v="2024-06-26T00:00:00"/>
        <d v="2023-07-09T00:00:00"/>
        <d v="2024-01-11T00:00:00"/>
        <d v="2024-03-10T00:00:00"/>
        <d v="2023-06-14T00:00:00"/>
        <d v="2023-09-03T00:00:00"/>
        <d v="2024-12-31T00:00:00"/>
        <d v="2024-02-18T00:00:00"/>
        <d v="2024-02-22T00:00:00"/>
        <d v="2024-01-04T00:00:00"/>
        <d v="2024-07-04T00:00:00"/>
        <d v="2024-12-20T00:00:00"/>
        <d v="2023-04-17T00:00:00"/>
        <d v="2024-02-05T00:00:00"/>
        <d v="2024-08-13T00:00:00"/>
        <d v="2024-06-28T00:00:00"/>
        <d v="2024-02-28T00:00:00"/>
        <d v="2024-06-06T00:00:00"/>
        <d v="2024-03-08T00:00:00"/>
        <d v="2024-02-11T00:00:00"/>
        <d v="2025-01-24T00:00:00"/>
        <d v="2024-04-17T00:00:00"/>
        <d v="2024-04-14T00:00:00"/>
        <d v="2023-10-17T00:00:00"/>
        <d v="2024-03-17T00:00:00"/>
        <d v="2025-01-04T00:00:00"/>
        <d v="2024-12-27T00:00:00"/>
        <d v="2023-12-09T00:00:00"/>
        <d v="2025-02-07T00:00:00"/>
        <d v="2024-10-22T00:00:00"/>
        <d v="2024-04-16T00:00:00"/>
        <d v="2023-09-09T00:00:00"/>
        <d v="2024-09-01T00:00:00"/>
        <d v="2024-01-19T00:00:00"/>
        <d v="2023-08-29T00:00:00"/>
        <d v="2024-12-02T00:00:00"/>
        <d v="2023-09-06T00:00:00"/>
        <d v="2024-03-28T00:00:00"/>
        <d v="2024-12-07T00:00:00"/>
        <d v="2024-09-04T00:00:00"/>
        <d v="2024-05-17T00:00:00"/>
        <d v="2024-12-12T00:00:00"/>
        <d v="2024-03-29T00:00:00"/>
        <d v="2024-10-06T00:00:00"/>
        <d v="2023-02-23T00:00:00"/>
        <d v="2023-03-30T00:00:00"/>
        <d v="2024-10-31T00:00:00"/>
        <d v="2023-06-10T00:00:00"/>
        <d v="2023-06-26T00:00:00"/>
        <d v="2024-04-28T00:00:00"/>
        <d v="2024-03-11T00:00:00"/>
        <d v="2024-08-24T00:00:00"/>
        <d v="2024-03-03T00:00:00"/>
        <d v="2024-03-02T00:00:00"/>
        <d v="2023-11-29T00:00:00"/>
        <d v="2024-03-22T00:00:00"/>
        <d v="2023-05-26T00:00:00"/>
        <d v="2023-12-30T00:00:00"/>
        <d v="2023-07-21T00:00:00"/>
        <d v="2024-03-05T00:00:00"/>
        <d v="2023-10-05T00:00:00"/>
        <d v="2024-10-25T00:00:00"/>
        <d v="2023-09-13T00:00:00"/>
        <d v="2023-04-16T00:00:00"/>
        <d v="2024-07-17T00:00:00"/>
        <d v="2024-03-30T00:00:00"/>
        <d v="2024-06-29T00:00:00"/>
      </sharedItems>
    </cacheField>
    <cacheField name="Order_Time" numFmtId="0">
      <sharedItems/>
    </cacheField>
    <cacheField name="Product_ID" numFmtId="0">
      <sharedItems count="50">
        <s v="PID022"/>
        <s v="PID015"/>
        <s v="PID023"/>
        <s v="PID031"/>
        <s v="PID043"/>
        <s v="PID046"/>
        <s v="PID034"/>
        <s v="PID033"/>
        <s v="PID007"/>
        <s v="PID042"/>
        <s v="PID047"/>
        <s v="PID039"/>
        <s v="PID014"/>
        <s v="PID024"/>
        <s v="PID003"/>
        <s v="PID008"/>
        <s v="PID012"/>
        <s v="PID028"/>
        <s v="PID030"/>
        <s v="PID026"/>
        <s v="PID018"/>
        <s v="PID036"/>
        <s v="PID050"/>
        <s v="PID021"/>
        <s v="PID027"/>
        <s v="PID037"/>
        <s v="PID041"/>
        <s v="PID004"/>
        <s v="PID020"/>
        <s v="PID010"/>
        <s v="PID001"/>
        <s v="PID019"/>
        <s v="PID009"/>
        <s v="PID038"/>
        <s v="PID048"/>
        <s v="PID049"/>
        <s v="PID017"/>
        <s v="PID016"/>
        <s v="PID006"/>
        <s v="PID025"/>
        <s v="PID005"/>
        <s v="PID035"/>
        <s v="PID013"/>
        <s v="PID032"/>
        <s v="PID040"/>
        <s v="PID029"/>
        <s v="PID044"/>
        <s v="PID011"/>
        <s v="PID002"/>
        <s v="PID045"/>
      </sharedItems>
    </cacheField>
    <cacheField name="Price" numFmtId="0">
      <sharedItems containsSemiMixedTypes="0" containsString="0" containsNumber="1" minValue="20" maxValue="496.59"/>
    </cacheField>
    <cacheField name="Quantity" numFmtId="0">
      <sharedItems containsSemiMixedTypes="0" containsString="0" containsNumber="1" containsInteger="1" minValue="1" maxValue="5"/>
    </cacheField>
    <cacheField name="Coupon_Code" numFmtId="0">
      <sharedItems count="5">
        <s v="FLAT8"/>
        <s v="FLAT15"/>
        <s v="DEL0"/>
        <s v="FLAT20"/>
        <s v="FLAT10"/>
      </sharedItems>
    </cacheField>
    <cacheField name="Discount_Percent" numFmtId="0">
      <sharedItems/>
    </cacheField>
    <cacheField name="Estimated_Days_to_Deliver" numFmtId="0">
      <sharedItems containsSemiMixedTypes="0" containsString="0" containsNumber="1" containsInteger="1" minValue="1" maxValue="7"/>
    </cacheField>
    <cacheField name=" IsLateDelivery" numFmtId="0">
      <sharedItems count="3">
        <s v="Before Time"/>
        <s v="Late"/>
        <s v="Intime"/>
      </sharedItems>
    </cacheField>
    <cacheField name="Delivery_Charge" numFmtId="0">
      <sharedItems containsSemiMixedTypes="0" containsString="0" containsNumber="1" containsInteger="1" minValue="35" maxValue="70"/>
    </cacheField>
    <cacheField name="Delivery_Date" numFmtId="164">
      <sharedItems containsSemiMixedTypes="0" containsNonDate="0" containsDate="1" containsString="0" minDate="2023-02-13T00:00:00" maxDate="2025-02-14T00:00:00"/>
    </cacheField>
    <cacheField name="Days_of_Delivery" numFmtId="0">
      <sharedItems containsSemiMixedTypes="0" containsString="0" containsNumber="1" containsInteger="1" minValue="1" maxValue="7"/>
    </cacheField>
    <cacheField name="Delivery_Time" numFmtId="0">
      <sharedItems/>
    </cacheField>
    <cacheField name="Discount_Amount" numFmtId="0">
      <sharedItems containsSemiMixedTypes="0" containsString="0" containsNumber="1" minValue="6.4320000000000022" maxValue="504.58999999999992"/>
    </cacheField>
    <cacheField name="Amount" numFmtId="0">
      <sharedItems containsSemiMixedTypes="0" containsString="0" containsNumber="1" minValue="20" maxValue="2482.9499999999998"/>
    </cacheField>
    <cacheField name="Amount_with_Del_Chrg " numFmtId="0">
      <sharedItems containsSemiMixedTypes="0" containsString="0" containsNumber="1" minValue="71.7" maxValue="2543.9499999999998"/>
    </cacheField>
    <cacheField name="Final_Amount" numFmtId="0">
      <sharedItems containsSemiMixedTypes="0" containsString="0" containsNumber="1" minValue="20.700000000000003" maxValue="2340.4339999999997"/>
    </cacheField>
  </cacheFields>
  <calculatedItems count="1">
    <calculatedItem>
      <pivotArea cacheIndex="1" outline="0" fieldPosition="0">
        <references count="1">
          <reference field="0" count="1">
            <x v="100"/>
          </reference>
        </references>
      </pivotArea>
    </calculatedItem>
  </calculatedItems>
  <extLst>
    <ext xmlns:x14="http://schemas.microsoft.com/office/spreadsheetml/2009/9/main" uri="{725AE2AE-9491-48be-B2B4-4EB974FC3084}">
      <x14:pivotCacheDefinition pivotCacheId="15209700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va" refreshedDate="46117.437777662039" backgroundQuery="1" createdVersion="8" refreshedVersion="8" minRefreshableVersion="3" recordCount="0" supportSubquery="1" supportAdvancedDrill="1" xr:uid="{D71090E8-7A78-46E7-8204-79BA7B5AA79D}">
  <cacheSource type="external" connectionId="1"/>
  <cacheFields count="3">
    <cacheField name="[Range].[IsLateDelivery].[IsLateDelivery]" caption="IsLateDelivery" numFmtId="0" hierarchy="18" level="1">
      <sharedItems count="3">
        <s v="Before Time"/>
        <s v="Intime"/>
        <s v="Late"/>
      </sharedItems>
    </cacheField>
    <cacheField name="[Measures].[Count of IsLateDelivery]" caption="Count of IsLateDelivery" numFmtId="0" hierarchy="34" level="32767"/>
    <cacheField name="[Range].[Order_Date (Month)].[Order_Date (Month)]" caption="Order_Date (Month)" numFmtId="0" hierarchy="29" level="1">
      <sharedItems containsSemiMixedTypes="0" containsNonDate="0" containsString="0"/>
    </cacheField>
  </cacheFields>
  <cacheHierarchies count="38">
    <cacheHierarchy uniqueName="[Range].[Customer_ID]" caption="Customer_ID" attribute="1" defaultMemberUniqueName="[Range].[Customer_ID].[All]" allUniqueName="[Range].[Customer_ID].[All]" dimensionUniqueName="[Range]" displayFolder="" count="2" memberValueDatatype="130" unbalanced="0"/>
    <cacheHierarchy uniqueName="[Range].[Full_Name]" caption="Full_Name" attribute="1" defaultMemberUniqueName="[Range].[Full_Name].[All]" allUniqueName="[Range].[Full_Name].[All]" dimensionUniqueName="[Range]" displayFolder="" count="2" memberValueDatatype="130" unbalanced="0"/>
    <cacheHierarchy uniqueName="[Range].[First_Name]" caption="First_Name" attribute="1" defaultMemberUniqueName="[Range].[First_Name].[All]" allUniqueName="[Range].[First_Name].[All]" dimensionUniqueName="[Range]" displayFolder="" count="2" memberValueDatatype="130" unbalanced="0"/>
    <cacheHierarchy uniqueName="[Range].[Last_Name]" caption="Last_Name" attribute="1" defaultMemberUniqueName="[Range].[Last_Name].[All]" allUniqueName="[Range].[Last_Name].[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Gender]" caption="Gender" attribute="1" defaultMemberUniqueName="[Range].[Gender].[All]" allUniqueName="[Range].[Gender].[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cacheHierarchy uniqueName="[Range].[Email]" caption="Email" attribute="1" defaultMemberUniqueName="[Range].[Email].[All]" allUniqueName="[Range].[Email].[All]" dimensionUniqueName="[Range]" displayFolder="" count="2" memberValueDatatype="130" unbalanced="0"/>
    <cacheHierarchy uniqueName="[Range].[Address]" caption="Address" attribute="1" defaultMemberUniqueName="[Range].[Address].[All]" allUniqueName="[Range].[Address].[All]" dimensionUniqueName="[Range]" displayFolder="" count="2" memberValueDatatype="130" unbalanced="0"/>
    <cacheHierarchy uniqueName="[Range].[Order_ID]" caption="Order_ID" attribute="1" defaultMemberUniqueName="[Range].[Order_ID].[All]" allUniqueName="[Range].[Order_ID].[All]" dimensionUniqueName="[Range]" displayFolder="" count="2" memberValueDatatype="130" unbalanced="0"/>
    <cacheHierarchy uniqueName="[Range].[Order_Date]" caption="Order_Date" attribute="1" time="1" defaultMemberUniqueName="[Range].[Order_Date].[All]" allUniqueName="[Range].[Order_Date].[All]" dimensionUniqueName="[Range]" displayFolder="" count="2" memberValueDatatype="7" unbalanced="0"/>
    <cacheHierarchy uniqueName="[Range].[Order_Time]" caption="Order_Time" attribute="1" defaultMemberUniqueName="[Range].[Order_Time].[All]" allUniqueName="[Range].[Order_Time].[All]" dimensionUniqueName="[Range]" displayFolder="" count="2" memberValueDatatype="130" unbalanced="0"/>
    <cacheHierarchy uniqueName="[Range].[Product_ID]" caption="Product_ID" attribute="1" defaultMemberUniqueName="[Range].[Product_ID].[All]" allUniqueName="[Range].[Product_ID].[All]" dimensionUniqueName="[Range]" displayFolder="" count="2" memberValueDatatype="130" unbalanced="0"/>
    <cacheHierarchy uniqueName="[Range].[Price]" caption="Price" attribute="1" defaultMemberUniqueName="[Range].[Price].[All]" allUniqueName="[Range].[Price].[All]" dimensionUniqueName="[Range]" displayFolder="" count="2" memberValueDatatype="5" unbalanced="0"/>
    <cacheHierarchy uniqueName="[Range].[Quantity]" caption="Quantity" attribute="1" defaultMemberUniqueName="[Range].[Quantity].[All]" allUniqueName="[Range].[Quantity].[All]" dimensionUniqueName="[Range]" displayFolder="" count="2" memberValueDatatype="20" unbalanced="0"/>
    <cacheHierarchy uniqueName="[Range].[Coupon_Code]" caption="Coupon_Code" attribute="1" defaultMemberUniqueName="[Range].[Coupon_Code].[All]" allUniqueName="[Range].[Coupon_Code].[All]" dimensionUniqueName="[Range]" displayFolder="" count="2" memberValueDatatype="130" unbalanced="0"/>
    <cacheHierarchy uniqueName="[Range].[Discount_Percent]" caption="Discount_Percent" attribute="1" defaultMemberUniqueName="[Range].[Discount_Percent].[All]" allUniqueName="[Range].[Discount_Percent].[All]" dimensionUniqueName="[Range]" displayFolder="" count="2" memberValueDatatype="130" unbalanced="0"/>
    <cacheHierarchy uniqueName="[Range].[Estimated_Days_to_Deliver]" caption="Estimated_Days_to_Deliver" attribute="1" defaultMemberUniqueName="[Range].[Estimated_Days_to_Deliver].[All]" allUniqueName="[Range].[Estimated_Days_to_Deliver].[All]" dimensionUniqueName="[Range]" displayFolder="" count="2" memberValueDatatype="20" unbalanced="0"/>
    <cacheHierarchy uniqueName="[Range].[IsLateDelivery]" caption="IsLateDelivery" attribute="1" defaultMemberUniqueName="[Range].[IsLateDelivery].[All]" allUniqueName="[Range].[IsLateDelivery].[All]" dimensionUniqueName="[Range]" displayFolder="" count="2" memberValueDatatype="130" unbalanced="0">
      <fieldsUsage count="2">
        <fieldUsage x="-1"/>
        <fieldUsage x="0"/>
      </fieldsUsage>
    </cacheHierarchy>
    <cacheHierarchy uniqueName="[Range].[Delivery_Charge]" caption="Delivery_Charge" attribute="1" defaultMemberUniqueName="[Range].[Delivery_Charge].[All]" allUniqueName="[Range].[Delivery_Charge].[All]" dimensionUniqueName="[Range]" displayFolder="" count="2" memberValueDatatype="20" unbalanced="0"/>
    <cacheHierarchy uniqueName="[Range].[Delivery_Date]" caption="Delivery_Date" attribute="1" time="1" defaultMemberUniqueName="[Range].[Delivery_Date].[All]" allUniqueName="[Range].[Delivery_Date].[All]" dimensionUniqueName="[Range]" displayFolder="" count="2" memberValueDatatype="7" unbalanced="0"/>
    <cacheHierarchy uniqueName="[Range].[Days_of_Delivery]" caption="Days_of_Delivery" attribute="1" defaultMemberUniqueName="[Range].[Days_of_Delivery].[All]" allUniqueName="[Range].[Days_of_Delivery].[All]" dimensionUniqueName="[Range]" displayFolder="" count="2" memberValueDatatype="20" unbalanced="0"/>
    <cacheHierarchy uniqueName="[Range].[Delivery_Time]" caption="Delivery_Time" attribute="1" defaultMemberUniqueName="[Range].[Delivery_Time].[All]" allUniqueName="[Range].[Delivery_Time].[All]" dimensionUniqueName="[Range]" displayFolder="" count="2" memberValueDatatype="130" unbalanced="0"/>
    <cacheHierarchy uniqueName="[Range].[Discount_Amount]" caption="Discount_Amount" attribute="1" defaultMemberUniqueName="[Range].[Discount_Amount].[All]" allUniqueName="[Range].[Discount_Amount].[All]" dimensionUniqueName="[Range]" displayFolder="" count="2" memberValueDatatype="5" unbalanced="0"/>
    <cacheHierarchy uniqueName="[Range].[Amount]" caption="Amount" attribute="1" defaultMemberUniqueName="[Range].[Amount].[All]" allUniqueName="[Range].[Amount].[All]" dimensionUniqueName="[Range]" displayFolder="" count="2" memberValueDatatype="5" unbalanced="0"/>
    <cacheHierarchy uniqueName="[Range].[Amount_with_Del_Chrg]" caption="Amount_with_Del_Chrg" attribute="1" defaultMemberUniqueName="[Range].[Amount_with_Del_Chrg].[All]" allUniqueName="[Range].[Amount_with_Del_Chrg].[All]" dimensionUniqueName="[Range]" displayFolder="" count="2" memberValueDatatype="5" unbalanced="0"/>
    <cacheHierarchy uniqueName="[Range].[Final_Amount]" caption="Final_Amount" attribute="1" defaultMemberUniqueName="[Range].[Final_Amount].[All]" allUniqueName="[Range].[Final_Amount].[All]" dimensionUniqueName="[Range]" displayFolder="" count="2" memberValueDatatype="5" unbalanced="0"/>
    <cacheHierarchy uniqueName="[Range].[Order_Date (Year)]" caption="Order_Date (Year)" attribute="1" defaultMemberUniqueName="[Range].[Order_Date (Year)].[All]" allUniqueName="[Range].[Order_Date (Year)].[All]" dimensionUniqueName="[Range]" displayFolder="" count="2" memberValueDatatype="130" unbalanced="0"/>
    <cacheHierarchy uniqueName="[Range].[Order_Date (Quarter)]" caption="Order_Date (Quarter)" attribute="1" defaultMemberUniqueName="[Range].[Order_Date (Quarter)].[All]" allUniqueName="[Range].[Order_Date (Quarter)].[All]" dimensionUniqueName="[Range]" displayFolder="" count="2" memberValueDatatype="130" unbalanced="0"/>
    <cacheHierarchy uniqueName="[Range].[Order_Date (Month)]" caption="Order_Date (Month)" attribute="1" defaultMemberUniqueName="[Range].[Order_Date (Month)].[All]" allUniqueName="[Range].[Order_Date (Month)].[All]" dimensionUniqueName="[Range]" displayFolder="" count="2" memberValueDatatype="130" unbalanced="0">
      <fieldsUsage count="2">
        <fieldUsage x="-1"/>
        <fieldUsage x="2"/>
      </fieldsUsage>
    </cacheHierarchy>
    <cacheHierarchy uniqueName="[Range].[Order_Date (Month Index)]" caption="Order_Date (Month Index)" attribute="1" defaultMemberUniqueName="[Range].[Order_Date (Month Index)].[All]" allUniqueName="[Range].[Order_Date (Month Index)].[All]" dimensionUniqueName="[Range]" displayFolder="" count="2"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Coupon_Code]" caption="Count of Coupon_Code" measure="1" displayFolder="" measureGroup="Range" count="0" hidden="1">
      <extLst>
        <ext xmlns:x15="http://schemas.microsoft.com/office/spreadsheetml/2010/11/main" uri="{B97F6D7D-B522-45F9-BDA1-12C45D357490}">
          <x15:cacheHierarchy aggregatedColumn="15"/>
        </ext>
      </extLst>
    </cacheHierarchy>
    <cacheHierarchy uniqueName="[Measures].[Count of IsLateDelivery]" caption="Count of IsLateDelivery" measure="1" displayFolder="" measureGroup="Ran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Final_Amount 2]" caption="Sum of Final_Amount 2" measure="1" displayFolder="" measureGroup="Range" count="0" hidden="1">
      <extLst>
        <ext xmlns:x15="http://schemas.microsoft.com/office/spreadsheetml/2010/11/main" uri="{B97F6D7D-B522-45F9-BDA1-12C45D357490}">
          <x15:cacheHierarchy aggregatedColumn="26"/>
        </ext>
      </extLst>
    </cacheHierarchy>
    <cacheHierarchy uniqueName="[Measures].[Sum of Discount_Amount]" caption="Sum of Discount_Amount" measure="1" displayFolder="" measureGroup="Range" count="0" hidden="1">
      <extLst>
        <ext xmlns:x15="http://schemas.microsoft.com/office/spreadsheetml/2010/11/main" uri="{B97F6D7D-B522-45F9-BDA1-12C45D357490}">
          <x15:cacheHierarchy aggregatedColumn="23"/>
        </ext>
      </extLst>
    </cacheHierarchy>
    <cacheHierarchy uniqueName="[Measures].[Count of Email]" caption="Count of Email" measure="1" displayFolder="" measureGroup="Range"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va" refreshedDate="46117.437778356485" backgroundQuery="1" createdVersion="8" refreshedVersion="8" minRefreshableVersion="3" recordCount="0" supportSubquery="1" supportAdvancedDrill="1" xr:uid="{58B13DA0-6C08-4DD1-853F-97471C44E24D}">
  <cacheSource type="external" connectionId="1"/>
  <cacheFields count="4">
    <cacheField name="[Range].[Order_Date (Year)].[Order_Date (Year)]" caption="Order_Date (Year)" numFmtId="0" hierarchy="27" level="1">
      <sharedItems count="3">
        <s v="2023"/>
        <s v="2024"/>
        <s v="2025"/>
      </sharedItems>
    </cacheField>
    <cacheField name="[Range].[Order_Date (Month)].[Order_Date (Month)]" caption="Order_Date (Month)" numFmtId="0" hierarchy="29" level="1">
      <sharedItems count="12">
        <s v="Feb"/>
        <s v="Mar"/>
        <s v="Apr"/>
        <s v="May"/>
        <s v="Jun"/>
        <s v="Jul"/>
        <s v="Aug"/>
        <s v="Sep"/>
        <s v="Oct"/>
        <s v="Nov"/>
        <s v="Dec"/>
        <s v="Jan"/>
      </sharedItems>
    </cacheField>
    <cacheField name="[Measures].[Sum of Final_Amount 2]" caption="Sum of Final_Amount 2" numFmtId="0" hierarchy="35" level="32767"/>
    <cacheField name="[Measures].[Sum of Discount_Amount]" caption="Sum of Discount_Amount" numFmtId="0" hierarchy="36" level="32767"/>
  </cacheFields>
  <cacheHierarchies count="38">
    <cacheHierarchy uniqueName="[Range].[Customer_ID]" caption="Customer_ID" attribute="1" defaultMemberUniqueName="[Range].[Customer_ID].[All]" allUniqueName="[Range].[Customer_ID].[All]" dimensionUniqueName="[Range]" displayFolder="" count="2" memberValueDatatype="130" unbalanced="0"/>
    <cacheHierarchy uniqueName="[Range].[Full_Name]" caption="Full_Name" attribute="1" defaultMemberUniqueName="[Range].[Full_Name].[All]" allUniqueName="[Range].[Full_Name].[All]" dimensionUniqueName="[Range]" displayFolder="" count="2" memberValueDatatype="130" unbalanced="0"/>
    <cacheHierarchy uniqueName="[Range].[First_Name]" caption="First_Name" attribute="1" defaultMemberUniqueName="[Range].[First_Name].[All]" allUniqueName="[Range].[First_Name].[All]" dimensionUniqueName="[Range]" displayFolder="" count="2" memberValueDatatype="130" unbalanced="0"/>
    <cacheHierarchy uniqueName="[Range].[Last_Name]" caption="Last_Name" attribute="1" defaultMemberUniqueName="[Range].[Last_Name].[All]" allUniqueName="[Range].[Last_Name].[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Gender]" caption="Gender" attribute="1" defaultMemberUniqueName="[Range].[Gender].[All]" allUniqueName="[Range].[Gender].[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cacheHierarchy uniqueName="[Range].[Email]" caption="Email" attribute="1" defaultMemberUniqueName="[Range].[Email].[All]" allUniqueName="[Range].[Email].[All]" dimensionUniqueName="[Range]" displayFolder="" count="2" memberValueDatatype="130" unbalanced="0"/>
    <cacheHierarchy uniqueName="[Range].[Address]" caption="Address" attribute="1" defaultMemberUniqueName="[Range].[Address].[All]" allUniqueName="[Range].[Address].[All]" dimensionUniqueName="[Range]" displayFolder="" count="2" memberValueDatatype="130" unbalanced="0"/>
    <cacheHierarchy uniqueName="[Range].[Order_ID]" caption="Order_ID" attribute="1" defaultMemberUniqueName="[Range].[Order_ID].[All]" allUniqueName="[Range].[Order_ID].[All]" dimensionUniqueName="[Range]" displayFolder="" count="2" memberValueDatatype="130" unbalanced="0"/>
    <cacheHierarchy uniqueName="[Range].[Order_Date]" caption="Order_Date" attribute="1" time="1" defaultMemberUniqueName="[Range].[Order_Date].[All]" allUniqueName="[Range].[Order_Date].[All]" dimensionUniqueName="[Range]" displayFolder="" count="2" memberValueDatatype="7" unbalanced="0"/>
    <cacheHierarchy uniqueName="[Range].[Order_Time]" caption="Order_Time" attribute="1" defaultMemberUniqueName="[Range].[Order_Time].[All]" allUniqueName="[Range].[Order_Time].[All]" dimensionUniqueName="[Range]" displayFolder="" count="2" memberValueDatatype="130" unbalanced="0"/>
    <cacheHierarchy uniqueName="[Range].[Product_ID]" caption="Product_ID" attribute="1" defaultMemberUniqueName="[Range].[Product_ID].[All]" allUniqueName="[Range].[Product_ID].[All]" dimensionUniqueName="[Range]" displayFolder="" count="2" memberValueDatatype="130" unbalanced="0"/>
    <cacheHierarchy uniqueName="[Range].[Price]" caption="Price" attribute="1" defaultMemberUniqueName="[Range].[Price].[All]" allUniqueName="[Range].[Price].[All]" dimensionUniqueName="[Range]" displayFolder="" count="2" memberValueDatatype="5" unbalanced="0"/>
    <cacheHierarchy uniqueName="[Range].[Quantity]" caption="Quantity" attribute="1" defaultMemberUniqueName="[Range].[Quantity].[All]" allUniqueName="[Range].[Quantity].[All]" dimensionUniqueName="[Range]" displayFolder="" count="2" memberValueDatatype="20" unbalanced="0"/>
    <cacheHierarchy uniqueName="[Range].[Coupon_Code]" caption="Coupon_Code" attribute="1" defaultMemberUniqueName="[Range].[Coupon_Code].[All]" allUniqueName="[Range].[Coupon_Code].[All]" dimensionUniqueName="[Range]" displayFolder="" count="2" memberValueDatatype="130" unbalanced="0"/>
    <cacheHierarchy uniqueName="[Range].[Discount_Percent]" caption="Discount_Percent" attribute="1" defaultMemberUniqueName="[Range].[Discount_Percent].[All]" allUniqueName="[Range].[Discount_Percent].[All]" dimensionUniqueName="[Range]" displayFolder="" count="2" memberValueDatatype="130" unbalanced="0"/>
    <cacheHierarchy uniqueName="[Range].[Estimated_Days_to_Deliver]" caption="Estimated_Days_to_Deliver" attribute="1" defaultMemberUniqueName="[Range].[Estimated_Days_to_Deliver].[All]" allUniqueName="[Range].[Estimated_Days_to_Deliver].[All]" dimensionUniqueName="[Range]" displayFolder="" count="2" memberValueDatatype="20" unbalanced="0"/>
    <cacheHierarchy uniqueName="[Range].[IsLateDelivery]" caption="IsLateDelivery" attribute="1" defaultMemberUniqueName="[Range].[IsLateDelivery].[All]" allUniqueName="[Range].[IsLateDelivery].[All]" dimensionUniqueName="[Range]" displayFolder="" count="2" memberValueDatatype="130" unbalanced="0"/>
    <cacheHierarchy uniqueName="[Range].[Delivery_Charge]" caption="Delivery_Charge" attribute="1" defaultMemberUniqueName="[Range].[Delivery_Charge].[All]" allUniqueName="[Range].[Delivery_Charge].[All]" dimensionUniqueName="[Range]" displayFolder="" count="2" memberValueDatatype="20" unbalanced="0"/>
    <cacheHierarchy uniqueName="[Range].[Delivery_Date]" caption="Delivery_Date" attribute="1" time="1" defaultMemberUniqueName="[Range].[Delivery_Date].[All]" allUniqueName="[Range].[Delivery_Date].[All]" dimensionUniqueName="[Range]" displayFolder="" count="2" memberValueDatatype="7" unbalanced="0"/>
    <cacheHierarchy uniqueName="[Range].[Days_of_Delivery]" caption="Days_of_Delivery" attribute="1" defaultMemberUniqueName="[Range].[Days_of_Delivery].[All]" allUniqueName="[Range].[Days_of_Delivery].[All]" dimensionUniqueName="[Range]" displayFolder="" count="2" memberValueDatatype="20" unbalanced="0"/>
    <cacheHierarchy uniqueName="[Range].[Delivery_Time]" caption="Delivery_Time" attribute="1" defaultMemberUniqueName="[Range].[Delivery_Time].[All]" allUniqueName="[Range].[Delivery_Time].[All]" dimensionUniqueName="[Range]" displayFolder="" count="2" memberValueDatatype="130" unbalanced="0"/>
    <cacheHierarchy uniqueName="[Range].[Discount_Amount]" caption="Discount_Amount" attribute="1" defaultMemberUniqueName="[Range].[Discount_Amount].[All]" allUniqueName="[Range].[Discount_Amount].[All]" dimensionUniqueName="[Range]" displayFolder="" count="2" memberValueDatatype="5" unbalanced="0"/>
    <cacheHierarchy uniqueName="[Range].[Amount]" caption="Amount" attribute="1" defaultMemberUniqueName="[Range].[Amount].[All]" allUniqueName="[Range].[Amount].[All]" dimensionUniqueName="[Range]" displayFolder="" count="2" memberValueDatatype="5" unbalanced="0"/>
    <cacheHierarchy uniqueName="[Range].[Amount_with_Del_Chrg]" caption="Amount_with_Del_Chrg" attribute="1" defaultMemberUniqueName="[Range].[Amount_with_Del_Chrg].[All]" allUniqueName="[Range].[Amount_with_Del_Chrg].[All]" dimensionUniqueName="[Range]" displayFolder="" count="2" memberValueDatatype="5" unbalanced="0"/>
    <cacheHierarchy uniqueName="[Range].[Final_Amount]" caption="Final_Amount" attribute="1" defaultMemberUniqueName="[Range].[Final_Amount].[All]" allUniqueName="[Range].[Final_Amount].[All]" dimensionUniqueName="[Range]" displayFolder="" count="2" memberValueDatatype="5" unbalanced="0"/>
    <cacheHierarchy uniqueName="[Range].[Order_Date (Year)]" caption="Order_Date (Year)" attribute="1" defaultMemberUniqueName="[Range].[Order_Date (Year)].[All]" allUniqueName="[Range].[Order_Date (Year)].[All]" dimensionUniqueName="[Range]" displayFolder="" count="2" memberValueDatatype="130" unbalanced="0">
      <fieldsUsage count="2">
        <fieldUsage x="-1"/>
        <fieldUsage x="0"/>
      </fieldsUsage>
    </cacheHierarchy>
    <cacheHierarchy uniqueName="[Range].[Order_Date (Quarter)]" caption="Order_Date (Quarter)" attribute="1" defaultMemberUniqueName="[Range].[Order_Date (Quarter)].[All]" allUniqueName="[Range].[Order_Date (Quarter)].[All]" dimensionUniqueName="[Range]" displayFolder="" count="2" memberValueDatatype="130" unbalanced="0"/>
    <cacheHierarchy uniqueName="[Range].[Order_Date (Month)]" caption="Order_Date (Month)" attribute="1" defaultMemberUniqueName="[Range].[Order_Date (Month)].[All]" allUniqueName="[Range].[Order_Date (Month)].[All]" dimensionUniqueName="[Range]" displayFolder="" count="2" memberValueDatatype="130" unbalanced="0">
      <fieldsUsage count="2">
        <fieldUsage x="-1"/>
        <fieldUsage x="1"/>
      </fieldsUsage>
    </cacheHierarchy>
    <cacheHierarchy uniqueName="[Range].[Order_Date (Month Index)]" caption="Order_Date (Month Index)" attribute="1" defaultMemberUniqueName="[Range].[Order_Date (Month Index)].[All]" allUniqueName="[Range].[Order_Date (Month Index)].[All]" dimensionUniqueName="[Range]" displayFolder="" count="2"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Coupon_Code]" caption="Count of Coupon_Code" measure="1" displayFolder="" measureGroup="Range" count="0" hidden="1">
      <extLst>
        <ext xmlns:x15="http://schemas.microsoft.com/office/spreadsheetml/2010/11/main" uri="{B97F6D7D-B522-45F9-BDA1-12C45D357490}">
          <x15:cacheHierarchy aggregatedColumn="15"/>
        </ext>
      </extLst>
    </cacheHierarchy>
    <cacheHierarchy uniqueName="[Measures].[Count of IsLateDelivery]" caption="Count of IsLateDelivery" measure="1" displayFolder="" measureGroup="Range" count="0" hidden="1">
      <extLst>
        <ext xmlns:x15="http://schemas.microsoft.com/office/spreadsheetml/2010/11/main" uri="{B97F6D7D-B522-45F9-BDA1-12C45D357490}">
          <x15:cacheHierarchy aggregatedColumn="18"/>
        </ext>
      </extLst>
    </cacheHierarchy>
    <cacheHierarchy uniqueName="[Measures].[Sum of Final_Amount 2]" caption="Sum of Final_Amount 2" measure="1" displayFolder="" measureGroup="Range" count="0" oneField="1" hidden="1">
      <fieldsUsage count="1">
        <fieldUsage x="2"/>
      </fieldsUsage>
      <extLst>
        <ext xmlns:x15="http://schemas.microsoft.com/office/spreadsheetml/2010/11/main" uri="{B97F6D7D-B522-45F9-BDA1-12C45D357490}">
          <x15:cacheHierarchy aggregatedColumn="26"/>
        </ext>
      </extLst>
    </cacheHierarchy>
    <cacheHierarchy uniqueName="[Measures].[Sum of Discount_Amount]" caption="Sum of Discount_Amount" measure="1" displayFolder="" measureGroup="Range" count="0" oneField="1" hidden="1">
      <fieldsUsage count="1">
        <fieldUsage x="3"/>
      </fieldsUsage>
      <extLst>
        <ext xmlns:x15="http://schemas.microsoft.com/office/spreadsheetml/2010/11/main" uri="{B97F6D7D-B522-45F9-BDA1-12C45D357490}">
          <x15:cacheHierarchy aggregatedColumn="23"/>
        </ext>
      </extLst>
    </cacheHierarchy>
    <cacheHierarchy uniqueName="[Measures].[Count of Email]" caption="Count of Email" measure="1" displayFolder="" measureGroup="Range"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va" refreshedDate="46117.436595486113" backgroundQuery="1" createdVersion="3" refreshedVersion="8" minRefreshableVersion="3" recordCount="0" supportSubquery="1" supportAdvancedDrill="1" xr:uid="{7788B92F-A620-4B88-8750-5AD8EE5891DE}">
  <cacheSource type="external" connectionId="1">
    <extLst>
      <ext xmlns:x14="http://schemas.microsoft.com/office/spreadsheetml/2009/9/main" uri="{F057638F-6D5F-4e77-A914-E7F072B9BCA8}">
        <x14:sourceConnection name="ThisWorkbookDataModel"/>
      </ext>
    </extLst>
  </cacheSource>
  <cacheFields count="0"/>
  <cacheHierarchies count="38">
    <cacheHierarchy uniqueName="[Range].[Customer_ID]" caption="Customer_ID" attribute="1" defaultMemberUniqueName="[Range].[Customer_ID].[All]" allUniqueName="[Range].[Customer_ID].[All]" dimensionUniqueName="[Range]" displayFolder="" count="0" memberValueDatatype="130" unbalanced="0"/>
    <cacheHierarchy uniqueName="[Range].[Full_Name]" caption="Full_Name" attribute="1" defaultMemberUniqueName="[Range].[Full_Name].[All]" allUniqueName="[Range].[Full_Name].[All]" dimensionUniqueName="[Range]" displayFolder="" count="0" memberValueDatatype="130" unbalanced="0"/>
    <cacheHierarchy uniqueName="[Range].[First_Name]" caption="First_Name" attribute="1" defaultMemberUniqueName="[Range].[First_Name].[All]" allUniqueName="[Range].[First_Name].[All]" dimensionUniqueName="[Range]" displayFolder="" count="0" memberValueDatatype="130" unbalanced="0"/>
    <cacheHierarchy uniqueName="[Range].[Last_Name]" caption="Last_Name" attribute="1" defaultMemberUniqueName="[Range].[Last_Name].[All]" allUniqueName="[Range].[Last_Name].[All]" dimensionUniqueName="[Range]" displayFolder="" count="0" memberValueDatatype="130" unbalanced="0"/>
    <cacheHierarchy uniqueName="[Range].[Age]" caption="Age" attribute="1" defaultMemberUniqueName="[Range].[Age].[All]" allUniqueName="[Range].[Age].[All]" dimensionUniqueName="[Range]" displayFolder="" count="2" memberValueDatatype="20" unbalanced="0"/>
    <cacheHierarchy uniqueName="[Range].[Gender]" caption="Gender" attribute="1" defaultMemberUniqueName="[Range].[Gender].[All]" allUniqueName="[Range].[Gender].[All]" dimensionUniqueName="[Range]" displayFolder="" count="0" memberValueDatatype="130" unbalanced="0"/>
    <cacheHierarchy uniqueName="[Range].[City]" caption="City" attribute="1" defaultMemberUniqueName="[Range].[City].[All]" allUniqueName="[Range].[City].[All]" dimensionUniqueName="[Range]" displayFolder="" count="0" memberValueDatatype="130" unbalanced="0"/>
    <cacheHierarchy uniqueName="[Range].[Email]" caption="Email" attribute="1" defaultMemberUniqueName="[Range].[Email].[All]" allUniqueName="[Range].[Email].[All]" dimensionUniqueName="[Range]" displayFolder="" count="0" memberValueDatatype="130" unbalanced="0"/>
    <cacheHierarchy uniqueName="[Range].[Address]" caption="Address" attribute="1" defaultMemberUniqueName="[Range].[Address].[All]" allUniqueName="[Range].[Address].[All]" dimensionUniqueName="[Range]" displayFolder="" count="0" memberValueDatatype="130" unbalanced="0"/>
    <cacheHierarchy uniqueName="[Range].[Order_ID]" caption="Order_ID" attribute="1" defaultMemberUniqueName="[Range].[Order_ID].[All]" allUniqueName="[Range].[Order_ID].[All]" dimensionUniqueName="[Range]" displayFolder="" count="0" memberValueDatatype="130" unbalanced="0"/>
    <cacheHierarchy uniqueName="[Range].[Order_Date]" caption="Order_Date" attribute="1" time="1" defaultMemberUniqueName="[Range].[Order_Date].[All]" allUniqueName="[Range].[Order_Date].[All]" dimensionUniqueName="[Range]" displayFolder="" count="0" memberValueDatatype="7" unbalanced="0"/>
    <cacheHierarchy uniqueName="[Range].[Order_Time]" caption="Order_Time" attribute="1" defaultMemberUniqueName="[Range].[Order_Time].[All]" allUniqueName="[Range].[Order_Time].[All]" dimensionUniqueName="[Range]" displayFolder="" count="0" memberValueDatatype="130" unbalanced="0"/>
    <cacheHierarchy uniqueName="[Range].[Product_ID]" caption="Product_ID" attribute="1" defaultMemberUniqueName="[Range].[Product_ID].[All]" allUniqueName="[Range].[Product_ID].[All]" dimensionUniqueName="[Range]" displayFolder="" count="0" memberValueDatatype="130" unbalanced="0"/>
    <cacheHierarchy uniqueName="[Range].[Price]" caption="Price" attribute="1" defaultMemberUniqueName="[Range].[Price].[All]" allUniqueName="[Range].[Price].[All]" dimensionUniqueName="[Range]" displayFolder="" count="0" memberValueDatatype="5" unbalanced="0"/>
    <cacheHierarchy uniqueName="[Range].[Quantity]" caption="Quantity" attribute="1" defaultMemberUniqueName="[Range].[Quantity].[All]" allUniqueName="[Range].[Quantity].[All]" dimensionUniqueName="[Range]" displayFolder="" count="0" memberValueDatatype="20" unbalanced="0"/>
    <cacheHierarchy uniqueName="[Range].[Coupon_Code]" caption="Coupon_Code" attribute="1" defaultMemberUniqueName="[Range].[Coupon_Code].[All]" allUniqueName="[Range].[Coupon_Code].[All]" dimensionUniqueName="[Range]" displayFolder="" count="0" memberValueDatatype="130" unbalanced="0"/>
    <cacheHierarchy uniqueName="[Range].[Discount_Percent]" caption="Discount_Percent" attribute="1" defaultMemberUniqueName="[Range].[Discount_Percent].[All]" allUniqueName="[Range].[Discount_Percent].[All]" dimensionUniqueName="[Range]" displayFolder="" count="0" memberValueDatatype="130" unbalanced="0"/>
    <cacheHierarchy uniqueName="[Range].[Estimated_Days_to_Deliver]" caption="Estimated_Days_to_Deliver" attribute="1" defaultMemberUniqueName="[Range].[Estimated_Days_to_Deliver].[All]" allUniqueName="[Range].[Estimated_Days_to_Deliver].[All]" dimensionUniqueName="[Range]" displayFolder="" count="0" memberValueDatatype="20" unbalanced="0"/>
    <cacheHierarchy uniqueName="[Range].[IsLateDelivery]" caption="IsLateDelivery" attribute="1" defaultMemberUniqueName="[Range].[IsLateDelivery].[All]" allUniqueName="[Range].[IsLateDelivery].[All]" dimensionUniqueName="[Range]" displayFolder="" count="0" memberValueDatatype="130" unbalanced="0"/>
    <cacheHierarchy uniqueName="[Range].[Delivery_Charge]" caption="Delivery_Charge" attribute="1" defaultMemberUniqueName="[Range].[Delivery_Charge].[All]" allUniqueName="[Range].[Delivery_Charge].[All]" dimensionUniqueName="[Range]" displayFolder="" count="0" memberValueDatatype="20" unbalanced="0"/>
    <cacheHierarchy uniqueName="[Range].[Delivery_Date]" caption="Delivery_Date" attribute="1" time="1" defaultMemberUniqueName="[Range].[Delivery_Date].[All]" allUniqueName="[Range].[Delivery_Date].[All]" dimensionUniqueName="[Range]" displayFolder="" count="0" memberValueDatatype="7" unbalanced="0"/>
    <cacheHierarchy uniqueName="[Range].[Days_of_Delivery]" caption="Days_of_Delivery" attribute="1" defaultMemberUniqueName="[Range].[Days_of_Delivery].[All]" allUniqueName="[Range].[Days_of_Delivery].[All]" dimensionUniqueName="[Range]" displayFolder="" count="0" memberValueDatatype="20" unbalanced="0"/>
    <cacheHierarchy uniqueName="[Range].[Delivery_Time]" caption="Delivery_Time" attribute="1" defaultMemberUniqueName="[Range].[Delivery_Time].[All]" allUniqueName="[Range].[Delivery_Time].[All]" dimensionUniqueName="[Range]" displayFolder="" count="0" memberValueDatatype="130" unbalanced="0"/>
    <cacheHierarchy uniqueName="[Range].[Discount_Amount]" caption="Discount_Amount" attribute="1" defaultMemberUniqueName="[Range].[Discount_Amount].[All]" allUniqueName="[Range].[Discount_Amount].[All]" dimensionUniqueName="[Range]" displayFolder="" count="0" memberValueDatatype="5" unbalanced="0"/>
    <cacheHierarchy uniqueName="[Range].[Amount]" caption="Amount" attribute="1" defaultMemberUniqueName="[Range].[Amount].[All]" allUniqueName="[Range].[Amount].[All]" dimensionUniqueName="[Range]" displayFolder="" count="0" memberValueDatatype="5" unbalanced="0"/>
    <cacheHierarchy uniqueName="[Range].[Amount_with_Del_Chrg]" caption="Amount_with_Del_Chrg" attribute="1" defaultMemberUniqueName="[Range].[Amount_with_Del_Chrg].[All]" allUniqueName="[Range].[Amount_with_Del_Chrg].[All]" dimensionUniqueName="[Range]" displayFolder="" count="0" memberValueDatatype="5" unbalanced="0"/>
    <cacheHierarchy uniqueName="[Range].[Final_Amount]" caption="Final_Amount" attribute="1" defaultMemberUniqueName="[Range].[Final_Amount].[All]" allUniqueName="[Range].[Final_Amount].[All]" dimensionUniqueName="[Range]" displayFolder="" count="0" memberValueDatatype="5" unbalanced="0"/>
    <cacheHierarchy uniqueName="[Range].[Order_Date (Year)]" caption="Order_Date (Year)" attribute="1" defaultMemberUniqueName="[Range].[Order_Date (Year)].[All]" allUniqueName="[Range].[Order_Date (Year)].[All]" dimensionUniqueName="[Range]" displayFolder="" count="0" memberValueDatatype="130" unbalanced="0"/>
    <cacheHierarchy uniqueName="[Range].[Order_Date (Quarter)]" caption="Order_Date (Quarter)" attribute="1" defaultMemberUniqueName="[Range].[Order_Date (Quarter)].[All]" allUniqueName="[Range].[Order_Date (Quarter)].[All]" dimensionUniqueName="[Range]" displayFolder="" count="0" memberValueDatatype="130" unbalanced="0"/>
    <cacheHierarchy uniqueName="[Range].[Order_Date (Month)]" caption="Order_Date (Month)" attribute="1" defaultMemberUniqueName="[Range].[Order_Date (Month)].[All]" allUniqueName="[Range].[Order_Date (Month)].[All]" dimensionUniqueName="[Range]" displayFolder="" count="2" memberValueDatatype="130" unbalanced="0"/>
    <cacheHierarchy uniqueName="[Range].[Order_Date (Month Index)]" caption="Order_Date (Month Index)" attribute="1" defaultMemberUniqueName="[Range].[Order_Date (Month Index)].[All]" allUniqueName="[Range].[Order_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Coupon_Code]" caption="Count of Coupon_Code" measure="1" displayFolder="" measureGroup="Range" count="0" hidden="1">
      <extLst>
        <ext xmlns:x15="http://schemas.microsoft.com/office/spreadsheetml/2010/11/main" uri="{B97F6D7D-B522-45F9-BDA1-12C45D357490}">
          <x15:cacheHierarchy aggregatedColumn="15"/>
        </ext>
      </extLst>
    </cacheHierarchy>
    <cacheHierarchy uniqueName="[Measures].[Count of IsLateDelivery]" caption="Count of IsLateDelivery" measure="1" displayFolder="" measureGroup="Range" count="0" hidden="1">
      <extLst>
        <ext xmlns:x15="http://schemas.microsoft.com/office/spreadsheetml/2010/11/main" uri="{B97F6D7D-B522-45F9-BDA1-12C45D357490}">
          <x15:cacheHierarchy aggregatedColumn="18"/>
        </ext>
      </extLst>
    </cacheHierarchy>
    <cacheHierarchy uniqueName="[Measures].[Sum of Final_Amount 2]" caption="Sum of Final_Amount 2" measure="1" displayFolder="" measureGroup="Range" count="0" hidden="1">
      <extLst>
        <ext xmlns:x15="http://schemas.microsoft.com/office/spreadsheetml/2010/11/main" uri="{B97F6D7D-B522-45F9-BDA1-12C45D357490}">
          <x15:cacheHierarchy aggregatedColumn="26"/>
        </ext>
      </extLst>
    </cacheHierarchy>
    <cacheHierarchy uniqueName="[Measures].[Sum of Discount_Amount]" caption="Sum of Discount_Amount" measure="1" displayFolder="" measureGroup="Range" count="0" hidden="1">
      <extLst>
        <ext xmlns:x15="http://schemas.microsoft.com/office/spreadsheetml/2010/11/main" uri="{B97F6D7D-B522-45F9-BDA1-12C45D357490}">
          <x15:cacheHierarchy aggregatedColumn="23"/>
        </ext>
      </extLst>
    </cacheHierarchy>
    <cacheHierarchy uniqueName="[Measures].[Count of Email]" caption="Count of Email" measure="1" displayFolder="" measureGroup="Range"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64981589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Anne Oconnell"/>
    <s v="Anne"/>
    <s v="Oconnell"/>
    <n v="37"/>
    <x v="0"/>
    <x v="0"/>
    <s v="anne.oconnell@outlook.com"/>
    <s v="2850 Matthew Ford, North Yolandachester, FL 67488"/>
    <s v="OID2497"/>
    <x v="0"/>
    <s v="18:16:33"/>
    <x v="0"/>
    <n v="308.88"/>
    <n v="5"/>
    <x v="0"/>
    <s v="8%"/>
    <n v="4"/>
    <x v="0"/>
    <n v="60"/>
    <d v="2024-03-10T00:00:00"/>
    <n v="3"/>
    <s v="08:51:31"/>
    <n v="128.35199999999986"/>
    <n v="1544.4"/>
    <n v="1604.4"/>
    <n v="1476.0480000000002"/>
  </r>
  <r>
    <x v="1"/>
    <s v="Anthony Thomas"/>
    <s v="Anthony"/>
    <s v="Thomas"/>
    <n v="53"/>
    <x v="1"/>
    <x v="1"/>
    <s v="anthony.thomas@rediffmail.com"/>
    <s v="931 Christopher Ways Suite 833, North Michelle, IN 53484"/>
    <s v="OID7056"/>
    <x v="1"/>
    <s v="01:46:33"/>
    <x v="1"/>
    <n v="166.28"/>
    <n v="4"/>
    <x v="0"/>
    <s v="8%"/>
    <n v="7"/>
    <x v="0"/>
    <n v="66"/>
    <d v="2024-03-30T00:00:00"/>
    <n v="3"/>
    <s v="18:46:26"/>
    <n v="58.489599999999996"/>
    <n v="665.12"/>
    <n v="731.12"/>
    <n v="672.63040000000001"/>
  </r>
  <r>
    <x v="2"/>
    <s v="Karl Gallagher"/>
    <s v="Karl"/>
    <s v="Gallagher"/>
    <n v="60"/>
    <x v="2"/>
    <x v="0"/>
    <s v="karl.gallagher@rediffmail.com"/>
    <s v="5016 Snow Mountains Apt. 063, New Seanport, WY 41492"/>
    <s v="OID7502"/>
    <x v="2"/>
    <s v="07:31:36"/>
    <x v="2"/>
    <n v="202.54"/>
    <n v="1"/>
    <x v="1"/>
    <s v="15%"/>
    <n v="3"/>
    <x v="0"/>
    <n v="47"/>
    <d v="2024-02-22T00:00:00"/>
    <n v="2"/>
    <s v="14:29:50"/>
    <n v="37.431000000000012"/>
    <n v="202.54"/>
    <n v="249.54"/>
    <n v="212.10899999999998"/>
  </r>
  <r>
    <x v="2"/>
    <s v="Karl Gallagher"/>
    <s v="Karl"/>
    <s v="Gallagher"/>
    <n v="60"/>
    <x v="2"/>
    <x v="0"/>
    <s v="karl.gallagher@rediffmail.com"/>
    <s v="5016 Snow Mountains Apt. 063, New Seanport, WY 41492"/>
    <s v="OID7077"/>
    <x v="3"/>
    <s v="18:29:21"/>
    <x v="3"/>
    <n v="405"/>
    <n v="5"/>
    <x v="2"/>
    <s v="0 delivery charge"/>
    <n v="6"/>
    <x v="0"/>
    <n v="47"/>
    <d v="2024-05-18T00:00:00"/>
    <n v="4"/>
    <s v="07:00:32"/>
    <n v="47"/>
    <n v="2025"/>
    <n v="2072"/>
    <n v="2025"/>
  </r>
  <r>
    <x v="3"/>
    <s v="Angela Horne"/>
    <s v="Angela"/>
    <s v="Horne"/>
    <n v="49"/>
    <x v="2"/>
    <x v="0"/>
    <s v="angela.horne@outlook.com"/>
    <s v="USNV Mueller, FPO AP 54648"/>
    <s v="OID2793"/>
    <x v="4"/>
    <s v="03:23:21"/>
    <x v="1"/>
    <n v="166.28"/>
    <n v="1"/>
    <x v="0"/>
    <s v="8%"/>
    <n v="2"/>
    <x v="1"/>
    <n v="54"/>
    <d v="2024-04-13T00:00:00"/>
    <n v="4"/>
    <s v="22:10:58"/>
    <n v="17.622399999999999"/>
    <n v="166.28"/>
    <n v="220.28"/>
    <n v="202.6576"/>
  </r>
  <r>
    <x v="4"/>
    <s v="Christine West"/>
    <s v="Christine"/>
    <s v="West"/>
    <n v="53"/>
    <x v="2"/>
    <x v="2"/>
    <s v="christine.west@gmail.com"/>
    <s v="Unit 1433 Box 0246, DPO AP 94952"/>
    <s v="OID1483"/>
    <x v="5"/>
    <s v="16:55:06"/>
    <x v="4"/>
    <n v="330.11"/>
    <n v="4"/>
    <x v="1"/>
    <s v="15%"/>
    <n v="6"/>
    <x v="0"/>
    <n v="39"/>
    <d v="2024-09-12T00:00:00"/>
    <n v="4"/>
    <s v="11:25:50"/>
    <n v="203.91599999999994"/>
    <n v="1320.44"/>
    <n v="1359.44"/>
    <n v="1155.5240000000001"/>
  </r>
  <r>
    <x v="2"/>
    <s v="Karl Gallagher"/>
    <s v="Karl"/>
    <s v="Gallagher"/>
    <n v="60"/>
    <x v="2"/>
    <x v="0"/>
    <s v="karl.gallagher@rediffmail.com"/>
    <s v="5016 Snow Mountains Apt. 063, New Seanport, WY 41492"/>
    <s v="OID4105"/>
    <x v="6"/>
    <s v="09:47:21"/>
    <x v="0"/>
    <n v="308.88"/>
    <n v="5"/>
    <x v="3"/>
    <s v="20%"/>
    <n v="5"/>
    <x v="0"/>
    <n v="47"/>
    <d v="2025-01-08T00:00:00"/>
    <n v="3"/>
    <s v="20:10:50"/>
    <n v="318.27999999999997"/>
    <n v="1544.4"/>
    <n v="1591.4"/>
    <n v="1273.1200000000001"/>
  </r>
  <r>
    <x v="5"/>
    <s v="David Delacruz"/>
    <s v="David"/>
    <s v="Delacruz"/>
    <n v="26"/>
    <x v="1"/>
    <x v="3"/>
    <s v="david.delacruz@rediffmail.com"/>
    <s v="USNS Ray, FPO AE 20238"/>
    <s v="OID4372"/>
    <x v="7"/>
    <s v="19:27:45"/>
    <x v="5"/>
    <n v="363.64"/>
    <n v="3"/>
    <x v="4"/>
    <s v="10%"/>
    <n v="2"/>
    <x v="1"/>
    <n v="70"/>
    <d v="2024-06-21T00:00:00"/>
    <n v="5"/>
    <s v="12:36:32"/>
    <n v="116.09199999999987"/>
    <n v="1090.92"/>
    <n v="1160.92"/>
    <n v="1044.8280000000002"/>
  </r>
  <r>
    <x v="6"/>
    <s v="Marcus Valenzuela"/>
    <s v="Marcus"/>
    <s v="Valenzuela"/>
    <n v="39"/>
    <x v="0"/>
    <x v="0"/>
    <s v="marcus.valenzuela@yahoo.com"/>
    <s v="694 Graham Prairie Apt. 887, Jimenezfurt, MI 33044"/>
    <s v="OID3528"/>
    <x v="8"/>
    <s v="12:07:00"/>
    <x v="6"/>
    <n v="275.44"/>
    <n v="1"/>
    <x v="0"/>
    <s v="8%"/>
    <n v="7"/>
    <x v="0"/>
    <n v="63"/>
    <d v="2023-04-26T00:00:00"/>
    <n v="2"/>
    <s v="23:05:41"/>
    <n v="27.075199999999995"/>
    <n v="275.44"/>
    <n v="338.44"/>
    <n v="311.3648"/>
  </r>
  <r>
    <x v="7"/>
    <s v="Debra Rodriguez"/>
    <s v="Debra"/>
    <s v="Rodriguez"/>
    <n v="48"/>
    <x v="2"/>
    <x v="1"/>
    <s v="debra.rodriguez@rediffmail.com"/>
    <s v="Unit 5964 Box 0721, DPO AP 01840"/>
    <s v="OID9634"/>
    <x v="9"/>
    <s v="13:46:47"/>
    <x v="7"/>
    <n v="48.45"/>
    <n v="1"/>
    <x v="1"/>
    <s v="15%"/>
    <n v="7"/>
    <x v="0"/>
    <n v="59"/>
    <d v="2023-12-27T00:00:00"/>
    <n v="5"/>
    <s v="19:57:06"/>
    <n v="16.117500000000007"/>
    <n v="48.45"/>
    <n v="107.45"/>
    <n v="91.332499999999996"/>
  </r>
  <r>
    <x v="2"/>
    <s v="Karl Gallagher"/>
    <s v="Karl"/>
    <s v="Gallagher"/>
    <n v="60"/>
    <x v="2"/>
    <x v="0"/>
    <s v="karl.gallagher@rediffmail.com"/>
    <s v="5016 Snow Mountains Apt. 063, New Seanport, WY 41492"/>
    <s v="OID1905"/>
    <x v="10"/>
    <s v="17:21:43"/>
    <x v="5"/>
    <n v="363.64"/>
    <n v="4"/>
    <x v="2"/>
    <s v="0 delivery charge"/>
    <n v="2"/>
    <x v="2"/>
    <n v="35"/>
    <d v="2024-10-25T00:00:00"/>
    <n v="2"/>
    <s v="08:00:35"/>
    <n v="35"/>
    <n v="1454.56"/>
    <n v="1489.56"/>
    <n v="1454.56"/>
  </r>
  <r>
    <x v="8"/>
    <s v="Bobby Forbes"/>
    <s v="Bobby"/>
    <s v="Forbes"/>
    <n v="20"/>
    <x v="0"/>
    <x v="3"/>
    <s v="bobby.forbes@gmail.com"/>
    <s v="3079 John Parkway Suite 961, Port Kristaview, MT 91019"/>
    <s v="OID3136"/>
    <x v="11"/>
    <s v="15:09:49"/>
    <x v="8"/>
    <n v="257.06"/>
    <n v="3"/>
    <x v="2"/>
    <s v="0 delivery charge"/>
    <n v="7"/>
    <x v="0"/>
    <n v="62"/>
    <d v="2024-07-26T00:00:00"/>
    <n v="1"/>
    <s v="22:54:40"/>
    <n v="62"/>
    <n v="771.18000000000006"/>
    <n v="833.18000000000006"/>
    <n v="771.18000000000006"/>
  </r>
  <r>
    <x v="9"/>
    <s v="Joseph Stewart"/>
    <s v="Joseph"/>
    <s v="Stewart"/>
    <n v="30"/>
    <x v="1"/>
    <x v="1"/>
    <s v="joseph.stewart@yahoo.com"/>
    <s v="4082 Wang Terrace Suite 040, Victorialand, ME 41532"/>
    <s v="OID6886"/>
    <x v="12"/>
    <s v="22:42:51"/>
    <x v="9"/>
    <n v="175.93"/>
    <n v="4"/>
    <x v="0"/>
    <s v="8%"/>
    <n v="3"/>
    <x v="0"/>
    <n v="65"/>
    <d v="2023-03-14T00:00:00"/>
    <n v="2"/>
    <s v="13:19:45"/>
    <n v="61.49759999999992"/>
    <n v="703.72"/>
    <n v="768.72"/>
    <n v="707.22240000000011"/>
  </r>
  <r>
    <x v="10"/>
    <s v="Kara Brennan"/>
    <s v="Kara"/>
    <s v="Brennan"/>
    <n v="25"/>
    <x v="2"/>
    <x v="4"/>
    <s v="kara.brennan@outlook.com"/>
    <s v="2174 Thomas Avenue, Maciasborough, NJ 41465"/>
    <s v="OID3509"/>
    <x v="13"/>
    <s v="14:52:54"/>
    <x v="10"/>
    <n v="190.1"/>
    <n v="1"/>
    <x v="2"/>
    <s v="0 delivery charge"/>
    <n v="1"/>
    <x v="1"/>
    <n v="70"/>
    <d v="2023-12-10T00:00:00"/>
    <n v="3"/>
    <s v="15:16:54"/>
    <n v="70"/>
    <n v="190.1"/>
    <n v="260.10000000000002"/>
    <n v="190.10000000000002"/>
  </r>
  <r>
    <x v="11"/>
    <s v="Amy Reid"/>
    <s v="Amy"/>
    <s v="Reid"/>
    <n v="44"/>
    <x v="1"/>
    <x v="3"/>
    <s v="amy.reid@rediffmail.com"/>
    <s v="6262 Simpson Village, North Danielle, RI 76074"/>
    <s v="OID3689"/>
    <x v="14"/>
    <s v="01:19:56"/>
    <x v="11"/>
    <n v="220.27"/>
    <n v="2"/>
    <x v="2"/>
    <s v="0 delivery charge"/>
    <n v="3"/>
    <x v="1"/>
    <n v="39"/>
    <d v="2024-03-31T00:00:00"/>
    <n v="5"/>
    <s v="21:47:03"/>
    <n v="39"/>
    <n v="440.54"/>
    <n v="479.54"/>
    <n v="440.54"/>
  </r>
  <r>
    <x v="12"/>
    <s v="Joshua Campbell"/>
    <s v="Joshua"/>
    <s v="Campbell"/>
    <n v="24"/>
    <x v="0"/>
    <x v="5"/>
    <s v="joshua.campbell@gmail.com"/>
    <s v="70426 Lindsey Overpass Apt. 030, Jessicafurt, AR 46269"/>
    <s v="OID1911"/>
    <x v="15"/>
    <s v="04:13:27"/>
    <x v="4"/>
    <n v="330.11"/>
    <n v="4"/>
    <x v="2"/>
    <s v="0 delivery charge"/>
    <n v="1"/>
    <x v="2"/>
    <n v="58"/>
    <d v="2023-06-03T00:00:00"/>
    <n v="1"/>
    <s v="11:25:46"/>
    <n v="58"/>
    <n v="1320.44"/>
    <n v="1378.44"/>
    <n v="1320.44"/>
  </r>
  <r>
    <x v="13"/>
    <s v="Erin Miller"/>
    <s v="Erin"/>
    <s v="Miller"/>
    <n v="46"/>
    <x v="0"/>
    <x v="6"/>
    <s v="erin.miller@gmail.com"/>
    <s v="65972 Peterson Route, Port Andrewfurt, SD 32892"/>
    <s v="OID6520"/>
    <x v="16"/>
    <s v="23:53:21"/>
    <x v="12"/>
    <n v="272.51"/>
    <n v="4"/>
    <x v="4"/>
    <s v="10%"/>
    <n v="5"/>
    <x v="0"/>
    <n v="40"/>
    <d v="2023-02-13T00:00:00"/>
    <n v="4"/>
    <s v="12:55:59"/>
    <n v="113.00400000000002"/>
    <n v="1090.04"/>
    <n v="1130.04"/>
    <n v="1017.0359999999999"/>
  </r>
  <r>
    <x v="14"/>
    <s v="Gina Moreno"/>
    <s v="Gina"/>
    <s v="Moreno"/>
    <n v="36"/>
    <x v="2"/>
    <x v="4"/>
    <s v="gina.moreno@rediffmail.com"/>
    <s v="USS Murray, FPO AP 66559"/>
    <s v="OID6123"/>
    <x v="17"/>
    <s v="19:16:28"/>
    <x v="13"/>
    <n v="104.18"/>
    <n v="2"/>
    <x v="2"/>
    <s v="0 delivery charge"/>
    <n v="4"/>
    <x v="0"/>
    <n v="44"/>
    <d v="2024-09-10T00:00:00"/>
    <n v="3"/>
    <s v="03:46:23"/>
    <n v="44"/>
    <n v="208.36"/>
    <n v="252.36"/>
    <n v="208.36"/>
  </r>
  <r>
    <x v="15"/>
    <s v="Mallory Mitchell"/>
    <s v="Mallory"/>
    <s v="Mitchell"/>
    <n v="42"/>
    <x v="1"/>
    <x v="6"/>
    <s v="mallory.mitchell@yahoo.com"/>
    <s v="710 Anthony Wall Suite 137, East Davidstad, NV 61494"/>
    <s v="OID1699"/>
    <x v="18"/>
    <s v="11:48:17"/>
    <x v="7"/>
    <n v="48.45"/>
    <n v="4"/>
    <x v="4"/>
    <s v="10%"/>
    <n v="1"/>
    <x v="1"/>
    <n v="70"/>
    <d v="2025-01-13T00:00:00"/>
    <n v="5"/>
    <s v="10:08:54"/>
    <n v="26.379999999999995"/>
    <n v="193.8"/>
    <n v="263.8"/>
    <n v="237.42000000000002"/>
  </r>
  <r>
    <x v="16"/>
    <s v="Traci Jones"/>
    <s v="Traci"/>
    <s v="Jones"/>
    <n v="34"/>
    <x v="0"/>
    <x v="3"/>
    <s v="traci.jones@yahoo.com"/>
    <s v="4016 Ryan Passage, Collinsside, PA 88777"/>
    <s v="OID3792"/>
    <x v="19"/>
    <s v="06:34:00"/>
    <x v="14"/>
    <n v="20.7"/>
    <n v="5"/>
    <x v="2"/>
    <s v="0 delivery charge"/>
    <n v="7"/>
    <x v="0"/>
    <n v="38"/>
    <d v="2024-09-26T00:00:00"/>
    <n v="5"/>
    <s v="14:05:20"/>
    <n v="38"/>
    <n v="103.5"/>
    <n v="141.5"/>
    <n v="103.5"/>
  </r>
  <r>
    <x v="17"/>
    <s v="Deborah Bates"/>
    <s v="Deborah"/>
    <s v="Bates"/>
    <n v="23"/>
    <x v="0"/>
    <x v="3"/>
    <s v="deborah.bates@yahoo.com"/>
    <s v="278 Kathy Estate, Saraville, OH 77292"/>
    <s v="OID7663"/>
    <x v="20"/>
    <s v="04:06:55"/>
    <x v="0"/>
    <n v="308.88"/>
    <n v="3"/>
    <x v="4"/>
    <s v="10%"/>
    <n v="7"/>
    <x v="0"/>
    <n v="43"/>
    <d v="2024-08-17T00:00:00"/>
    <n v="1"/>
    <s v="13:39:21"/>
    <n v="96.963999999999942"/>
    <n v="926.64"/>
    <n v="969.64"/>
    <n v="872.67600000000004"/>
  </r>
  <r>
    <x v="18"/>
    <s v="Christian Clayton"/>
    <s v="Christian"/>
    <s v="Clayton"/>
    <n v="39"/>
    <x v="1"/>
    <x v="5"/>
    <s v="christian.clayton@yahoo.com"/>
    <s v="065 Madison Way, Smithstad, CT 68011"/>
    <s v="OID7609"/>
    <x v="21"/>
    <s v="10:38:12"/>
    <x v="13"/>
    <n v="104.18"/>
    <n v="5"/>
    <x v="0"/>
    <s v="8%"/>
    <n v="5"/>
    <x v="0"/>
    <n v="58"/>
    <d v="2024-03-05T00:00:00"/>
    <n v="4"/>
    <s v="13:23:35"/>
    <n v="46.312000000000012"/>
    <n v="520.90000000000009"/>
    <n v="578.90000000000009"/>
    <n v="532.58800000000008"/>
  </r>
  <r>
    <x v="19"/>
    <s v="Mark Henderson"/>
    <s v="Mark"/>
    <s v="Henderson"/>
    <n v="33"/>
    <x v="2"/>
    <x v="7"/>
    <s v="mark.henderson@yahoo.com"/>
    <s v="90155 Hines Spring, North Theresafurt, ME 31920"/>
    <s v="OID8875"/>
    <x v="22"/>
    <s v="20:47:13"/>
    <x v="15"/>
    <n v="461.07"/>
    <n v="1"/>
    <x v="0"/>
    <s v="8%"/>
    <n v="1"/>
    <x v="2"/>
    <n v="56"/>
    <d v="2023-07-19T00:00:00"/>
    <n v="1"/>
    <s v="16:23:04"/>
    <n v="41.365599999999972"/>
    <n v="461.07"/>
    <n v="517.06999999999994"/>
    <n v="475.70439999999996"/>
  </r>
  <r>
    <x v="20"/>
    <s v="John Herrera"/>
    <s v="John"/>
    <s v="Herrera"/>
    <n v="64"/>
    <x v="1"/>
    <x v="1"/>
    <s v="john.herrera@outlook.com"/>
    <s v="61263 Jacob Isle, Amandatown, TN 34321"/>
    <s v="OID4032"/>
    <x v="23"/>
    <s v="08:09:52"/>
    <x v="16"/>
    <n v="132.97"/>
    <n v="1"/>
    <x v="1"/>
    <s v="15%"/>
    <n v="4"/>
    <x v="2"/>
    <n v="55"/>
    <d v="2023-09-29T00:00:00"/>
    <n v="4"/>
    <s v="00:57:21"/>
    <n v="28.19550000000001"/>
    <n v="132.97"/>
    <n v="187.97"/>
    <n v="159.77449999999999"/>
  </r>
  <r>
    <x v="21"/>
    <s v="Angela Evans"/>
    <s v="Angela"/>
    <s v="Evans"/>
    <n v="52"/>
    <x v="2"/>
    <x v="1"/>
    <s v="angela.evans@outlook.com"/>
    <s v="16031 David Mountain Suite 431, Susanborough, PA 01910"/>
    <s v="OID9964"/>
    <x v="24"/>
    <s v="19:13:06"/>
    <x v="17"/>
    <n v="126.19"/>
    <n v="2"/>
    <x v="2"/>
    <s v="0 delivery charge"/>
    <n v="3"/>
    <x v="1"/>
    <n v="63"/>
    <d v="2023-08-12T00:00:00"/>
    <n v="4"/>
    <s v="04:38:19"/>
    <n v="63"/>
    <n v="252.38"/>
    <n v="315.38"/>
    <n v="252.38"/>
  </r>
  <r>
    <x v="21"/>
    <s v="Angela Evans"/>
    <s v="Angela"/>
    <s v="Evans"/>
    <n v="52"/>
    <x v="2"/>
    <x v="1"/>
    <s v="angela.evans@outlook.com"/>
    <s v="16031 David Mountain Suite 431, Susanborough, PA 01910"/>
    <s v="OID2121"/>
    <x v="25"/>
    <s v="06:04:50"/>
    <x v="18"/>
    <n v="282.63"/>
    <n v="3"/>
    <x v="2"/>
    <s v="0 delivery charge"/>
    <n v="2"/>
    <x v="1"/>
    <n v="40"/>
    <d v="2023-08-04T00:00:00"/>
    <n v="4"/>
    <s v="20:36:00"/>
    <n v="40"/>
    <n v="847.89"/>
    <n v="887.89"/>
    <n v="847.89"/>
  </r>
  <r>
    <x v="8"/>
    <s v="Bobby Forbes"/>
    <s v="Bobby"/>
    <s v="Forbes"/>
    <n v="20"/>
    <x v="0"/>
    <x v="3"/>
    <s v="bobby.forbes@gmail.com"/>
    <s v="3079 John Parkway Suite 961, Port Kristaview, MT 91019"/>
    <s v="OID4710"/>
    <x v="26"/>
    <s v="17:44:17"/>
    <x v="19"/>
    <n v="128.13999999999999"/>
    <n v="3"/>
    <x v="0"/>
    <s v="8%"/>
    <n v="4"/>
    <x v="0"/>
    <n v="70"/>
    <d v="2023-05-23T00:00:00"/>
    <n v="3"/>
    <s v="09:53:18"/>
    <n v="36.353599999999972"/>
    <n v="384.41999999999996"/>
    <n v="454.41999999999996"/>
    <n v="418.06639999999999"/>
  </r>
  <r>
    <x v="8"/>
    <s v="Bobby Forbes"/>
    <s v="Bobby"/>
    <s v="Forbes"/>
    <n v="20"/>
    <x v="0"/>
    <x v="3"/>
    <s v="bobby.forbes@gmail.com"/>
    <s v="3079 John Parkway Suite 961, Port Kristaview, MT 91019"/>
    <s v="OID4295"/>
    <x v="27"/>
    <s v="18:58:15"/>
    <x v="5"/>
    <n v="363.64"/>
    <n v="3"/>
    <x v="3"/>
    <s v="20%"/>
    <n v="5"/>
    <x v="0"/>
    <n v="39"/>
    <d v="2023-09-20T00:00:00"/>
    <n v="4"/>
    <s v="02:21:23"/>
    <n v="225.98399999999992"/>
    <n v="1090.92"/>
    <n v="1129.92"/>
    <n v="903.93600000000015"/>
  </r>
  <r>
    <x v="22"/>
    <s v="Ashley Rose"/>
    <s v="Ashley"/>
    <s v="Rose"/>
    <n v="60"/>
    <x v="2"/>
    <x v="0"/>
    <s v="ashley.rose@gmail.com"/>
    <s v="424 Nichols Curve Suite 177, Lake Brianview, TX 17289"/>
    <s v="OID2817"/>
    <x v="28"/>
    <s v="12:22:52"/>
    <x v="5"/>
    <n v="363.64"/>
    <n v="2"/>
    <x v="1"/>
    <s v="15%"/>
    <n v="1"/>
    <x v="2"/>
    <n v="43"/>
    <d v="2023-03-03T00:00:00"/>
    <n v="1"/>
    <s v="08:01:21"/>
    <n v="115.54200000000003"/>
    <n v="727.28"/>
    <n v="770.28"/>
    <n v="654.73799999999994"/>
  </r>
  <r>
    <x v="23"/>
    <s v="Taylor Davis"/>
    <s v="Taylor"/>
    <s v="Davis"/>
    <n v="54"/>
    <x v="1"/>
    <x v="0"/>
    <s v="taylor.davis@yahoo.com"/>
    <s v="USCGC Simmons, FPO AA 60167"/>
    <s v="OID4643"/>
    <x v="29"/>
    <s v="00:40:20"/>
    <x v="20"/>
    <n v="62.42"/>
    <n v="1"/>
    <x v="2"/>
    <s v="0 delivery charge"/>
    <n v="3"/>
    <x v="1"/>
    <n v="58"/>
    <d v="2023-10-30T00:00:00"/>
    <n v="5"/>
    <s v="20:26:25"/>
    <n v="58"/>
    <n v="62.42"/>
    <n v="120.42"/>
    <n v="62.42"/>
  </r>
  <r>
    <x v="24"/>
    <s v="Lauren Long"/>
    <s v="Lauren"/>
    <s v="Long"/>
    <n v="44"/>
    <x v="0"/>
    <x v="7"/>
    <s v="lauren.long@gmail.com"/>
    <s v="258 Michael Brooks Suite 363, Arnoldview, PA 49438"/>
    <s v="OID4558"/>
    <x v="30"/>
    <s v="21:19:14"/>
    <x v="16"/>
    <n v="132.97"/>
    <n v="1"/>
    <x v="2"/>
    <s v="0 delivery charge"/>
    <n v="6"/>
    <x v="1"/>
    <n v="57"/>
    <d v="2024-04-14T00:00:00"/>
    <n v="7"/>
    <s v="17:27:57"/>
    <n v="57"/>
    <n v="132.97"/>
    <n v="189.97"/>
    <n v="132.97"/>
  </r>
  <r>
    <x v="25"/>
    <s v="Teresa Harvey"/>
    <s v="Teresa"/>
    <s v="Harvey"/>
    <n v="64"/>
    <x v="2"/>
    <x v="0"/>
    <s v="teresa.harvey@gmail.com"/>
    <s v="02669 Kirk Squares, Davisville, VA 51272"/>
    <s v="OID9577"/>
    <x v="31"/>
    <s v="10:35:41"/>
    <x v="21"/>
    <n v="157.63999999999999"/>
    <n v="4"/>
    <x v="3"/>
    <s v="20%"/>
    <n v="7"/>
    <x v="2"/>
    <n v="59"/>
    <d v="2023-04-30T00:00:00"/>
    <n v="7"/>
    <s v="09:28:47"/>
    <n v="137.91199999999992"/>
    <n v="630.55999999999995"/>
    <n v="689.56"/>
    <n v="551.64800000000002"/>
  </r>
  <r>
    <x v="24"/>
    <s v="Lauren Long"/>
    <s v="Lauren"/>
    <s v="Long"/>
    <n v="44"/>
    <x v="0"/>
    <x v="7"/>
    <s v="lauren.long@gmail.com"/>
    <s v="258 Michael Brooks Suite 363, Arnoldview, PA 49438"/>
    <s v="OID5502"/>
    <x v="32"/>
    <s v="13:50:14"/>
    <x v="22"/>
    <n v="158.53"/>
    <n v="5"/>
    <x v="3"/>
    <s v="20%"/>
    <n v="3"/>
    <x v="1"/>
    <n v="42"/>
    <d v="2024-09-18T00:00:00"/>
    <n v="5"/>
    <s v="08:49:03"/>
    <n v="166.92999999999995"/>
    <n v="792.65"/>
    <n v="834.65"/>
    <n v="667.72"/>
  </r>
  <r>
    <x v="26"/>
    <s v="Heather Schneider"/>
    <s v="Heather"/>
    <s v="Schneider"/>
    <n v="48"/>
    <x v="1"/>
    <x v="3"/>
    <s v="heather.schneider@outlook.com"/>
    <s v="57940 Susan Creek Apt. 541, Port Aliciamouth, OR 90221"/>
    <s v="OID6974"/>
    <x v="33"/>
    <s v="01:48:02"/>
    <x v="20"/>
    <n v="62.42"/>
    <n v="3"/>
    <x v="0"/>
    <s v="8%"/>
    <n v="4"/>
    <x v="1"/>
    <n v="36"/>
    <d v="2024-05-02T00:00:00"/>
    <n v="7"/>
    <s v="09:55:32"/>
    <n v="17.860799999999983"/>
    <n v="187.26"/>
    <n v="223.26"/>
    <n v="205.39920000000001"/>
  </r>
  <r>
    <x v="27"/>
    <s v="Valerie Carr"/>
    <s v="Valerie"/>
    <s v="Carr"/>
    <n v="26"/>
    <x v="2"/>
    <x v="6"/>
    <s v="valerie.carr@rediffmail.com"/>
    <s v="981 Emily Stream, South Brianna, CO 98063"/>
    <s v="OID2701"/>
    <x v="34"/>
    <s v="14:37:48"/>
    <x v="23"/>
    <n v="129.75"/>
    <n v="1"/>
    <x v="4"/>
    <s v="10%"/>
    <n v="5"/>
    <x v="0"/>
    <n v="70"/>
    <d v="2023-09-03T00:00:00"/>
    <n v="4"/>
    <s v="09:09:46"/>
    <n v="19.974999999999994"/>
    <n v="129.75"/>
    <n v="199.75"/>
    <n v="179.77500000000001"/>
  </r>
  <r>
    <x v="21"/>
    <s v="Angela Evans"/>
    <s v="Angela"/>
    <s v="Evans"/>
    <n v="52"/>
    <x v="2"/>
    <x v="1"/>
    <s v="angela.evans@outlook.com"/>
    <s v="16031 David Mountain Suite 431, Susanborough, PA 01910"/>
    <s v="OID4432"/>
    <x v="35"/>
    <s v="05:01:37"/>
    <x v="21"/>
    <n v="157.63999999999999"/>
    <n v="5"/>
    <x v="0"/>
    <s v="8%"/>
    <n v="4"/>
    <x v="0"/>
    <n v="53"/>
    <d v="2023-11-16T00:00:00"/>
    <n v="2"/>
    <s v="14:14:46"/>
    <n v="67.295999999999935"/>
    <n v="788.19999999999993"/>
    <n v="841.19999999999993"/>
    <n v="773.904"/>
  </r>
  <r>
    <x v="3"/>
    <s v="Angela Horne"/>
    <s v="Angela"/>
    <s v="Horne"/>
    <n v="49"/>
    <x v="2"/>
    <x v="0"/>
    <s v="angela.horne@outlook.com"/>
    <s v="USNV Mueller, FPO AP 54648"/>
    <s v="OID3502"/>
    <x v="36"/>
    <s v="12:35:46"/>
    <x v="14"/>
    <n v="20.7"/>
    <n v="5"/>
    <x v="2"/>
    <s v="0 delivery charge"/>
    <n v="2"/>
    <x v="1"/>
    <n v="64"/>
    <d v="2023-11-18T00:00:00"/>
    <n v="6"/>
    <s v="00:00:51"/>
    <n v="64"/>
    <n v="103.5"/>
    <n v="167.5"/>
    <n v="103.5"/>
  </r>
  <r>
    <x v="28"/>
    <s v="Jenny Estrada"/>
    <s v="Jenny"/>
    <s v="Estrada"/>
    <n v="45"/>
    <x v="0"/>
    <x v="1"/>
    <s v="jenny.estrada@yahoo.com"/>
    <s v="792 Carlos Islands, West David, CT 16522"/>
    <s v="OID4411"/>
    <x v="37"/>
    <s v="23:34:14"/>
    <x v="24"/>
    <n v="481.48"/>
    <n v="2"/>
    <x v="1"/>
    <s v="15%"/>
    <n v="3"/>
    <x v="2"/>
    <n v="50"/>
    <d v="2023-09-27T00:00:00"/>
    <n v="3"/>
    <s v="16:46:20"/>
    <n v="151.94400000000007"/>
    <n v="962.96"/>
    <n v="1012.96"/>
    <n v="861.01599999999996"/>
  </r>
  <r>
    <x v="29"/>
    <s v="Courtney Parker"/>
    <s v="Courtney"/>
    <s v="Parker"/>
    <n v="29"/>
    <x v="2"/>
    <x v="3"/>
    <s v="courtney.parker@yahoo.com"/>
    <s v="087 Jacqueline Rue Apt. 694, East Tasha, SC 04859"/>
    <s v="OID6304"/>
    <x v="38"/>
    <s v="04:09:40"/>
    <x v="3"/>
    <n v="405"/>
    <n v="1"/>
    <x v="2"/>
    <s v="0 delivery charge"/>
    <n v="7"/>
    <x v="0"/>
    <n v="36"/>
    <d v="2025-01-04T00:00:00"/>
    <n v="5"/>
    <s v="01:56:00"/>
    <n v="36"/>
    <n v="405"/>
    <n v="441"/>
    <n v="405"/>
  </r>
  <r>
    <x v="30"/>
    <s v="Julie Meyer"/>
    <s v="Julie"/>
    <s v="Meyer"/>
    <n v="23"/>
    <x v="0"/>
    <x v="0"/>
    <s v="julie.meyer@yahoo.com"/>
    <s v="17381 Smith Ramp Suite 398, Courtneyville, AL 17756"/>
    <s v="OID5126"/>
    <x v="39"/>
    <s v="04:03:43"/>
    <x v="25"/>
    <n v="77.84"/>
    <n v="5"/>
    <x v="2"/>
    <s v="0 delivery charge"/>
    <n v="4"/>
    <x v="0"/>
    <n v="47"/>
    <d v="2024-10-10T00:00:00"/>
    <n v="1"/>
    <s v="18:12:43"/>
    <n v="47"/>
    <n v="389.20000000000005"/>
    <n v="436.20000000000005"/>
    <n v="389.20000000000005"/>
  </r>
  <r>
    <x v="3"/>
    <s v="Angela Horne"/>
    <s v="Angela"/>
    <s v="Horne"/>
    <n v="49"/>
    <x v="2"/>
    <x v="0"/>
    <s v="angela.horne@outlook.com"/>
    <s v="USNV Mueller, FPO AP 54648"/>
    <s v="OID8577"/>
    <x v="40"/>
    <s v="00:47:19"/>
    <x v="26"/>
    <n v="372.62"/>
    <n v="3"/>
    <x v="0"/>
    <s v="8%"/>
    <n v="3"/>
    <x v="1"/>
    <n v="59"/>
    <d v="2024-09-29T00:00:00"/>
    <n v="7"/>
    <s v="11:25:58"/>
    <n v="94.148799999999937"/>
    <n v="1117.8600000000001"/>
    <n v="1176.8600000000001"/>
    <n v="1082.7112000000002"/>
  </r>
  <r>
    <x v="11"/>
    <s v="Amy Reid"/>
    <s v="Amy"/>
    <s v="Reid"/>
    <n v="44"/>
    <x v="1"/>
    <x v="3"/>
    <s v="amy.reid@rediffmail.com"/>
    <s v="6262 Simpson Village, North Danielle, RI 76074"/>
    <s v="OID7688"/>
    <x v="41"/>
    <s v="12:37:23"/>
    <x v="26"/>
    <n v="372.62"/>
    <n v="3"/>
    <x v="0"/>
    <s v="8%"/>
    <n v="1"/>
    <x v="1"/>
    <n v="52"/>
    <d v="2024-10-10T00:00:00"/>
    <n v="7"/>
    <s v="09:02:09"/>
    <n v="93.588799999999992"/>
    <n v="1117.8600000000001"/>
    <n v="1169.8600000000001"/>
    <n v="1076.2712000000001"/>
  </r>
  <r>
    <x v="31"/>
    <s v="Donna Oneill"/>
    <s v="Donna"/>
    <s v="Oneill"/>
    <n v="70"/>
    <x v="0"/>
    <x v="6"/>
    <s v="donna.oneill@yahoo.com"/>
    <s v="464 Carolyn Crest Suite 738, Lake Isaiah, CA 66153"/>
    <s v="OID4670"/>
    <x v="42"/>
    <s v="17:27:33"/>
    <x v="27"/>
    <n v="496.59"/>
    <n v="3"/>
    <x v="1"/>
    <s v="15%"/>
    <n v="4"/>
    <x v="0"/>
    <n v="49"/>
    <d v="2023-08-14T00:00:00"/>
    <n v="1"/>
    <s v="15:28:39"/>
    <n v="230.81549999999993"/>
    <n v="1489.77"/>
    <n v="1538.77"/>
    <n v="1307.9545000000001"/>
  </r>
  <r>
    <x v="32"/>
    <s v="Robert Castillo"/>
    <s v="Robert"/>
    <s v="Castillo"/>
    <n v="32"/>
    <x v="1"/>
    <x v="6"/>
    <s v="robert.castillo@gmail.com"/>
    <s v="7143 Brandon Skyway Suite 899, Tylerton, IA 21756"/>
    <s v="OID3319"/>
    <x v="43"/>
    <s v="01:59:03"/>
    <x v="23"/>
    <n v="129.75"/>
    <n v="1"/>
    <x v="4"/>
    <s v="10%"/>
    <n v="6"/>
    <x v="2"/>
    <n v="43"/>
    <d v="2023-04-10T00:00:00"/>
    <n v="6"/>
    <s v="12:37:05"/>
    <n v="17.275000000000006"/>
    <n v="129.75"/>
    <n v="172.75"/>
    <n v="155.47499999999999"/>
  </r>
  <r>
    <x v="33"/>
    <s v="Timothy Hicks"/>
    <s v="Timothy"/>
    <s v="Hicks"/>
    <n v="31"/>
    <x v="2"/>
    <x v="4"/>
    <s v="timothy.hicks@gmail.com"/>
    <s v="140 Tracy Fields, Lake Cynthiaton, TX 57190"/>
    <s v="OID6911"/>
    <x v="44"/>
    <s v="21:46:52"/>
    <x v="10"/>
    <n v="190.1"/>
    <n v="5"/>
    <x v="0"/>
    <s v="8%"/>
    <n v="5"/>
    <x v="2"/>
    <n v="35"/>
    <d v="2024-02-19T00:00:00"/>
    <n v="5"/>
    <s v="16:09:29"/>
    <n v="78.839999999999918"/>
    <n v="950.5"/>
    <n v="985.5"/>
    <n v="906.66000000000008"/>
  </r>
  <r>
    <x v="34"/>
    <s v="Thomas Andersen"/>
    <s v="Thomas"/>
    <s v="Andersen"/>
    <n v="50"/>
    <x v="2"/>
    <x v="4"/>
    <s v="thomas.andersen@yahoo.com"/>
    <s v="480 Summers Lock Suite 819, Sarahborough, IA 59863"/>
    <s v="OID8494"/>
    <x v="28"/>
    <s v="18:49:59"/>
    <x v="10"/>
    <n v="190.1"/>
    <n v="1"/>
    <x v="3"/>
    <s v="20%"/>
    <n v="4"/>
    <x v="1"/>
    <n v="63"/>
    <d v="2023-03-07T00:00:00"/>
    <n v="5"/>
    <s v="00:31:21"/>
    <n v="50.619999999999976"/>
    <n v="190.1"/>
    <n v="253.1"/>
    <n v="202.48000000000002"/>
  </r>
  <r>
    <x v="27"/>
    <s v="Valerie Carr"/>
    <s v="Valerie"/>
    <s v="Carr"/>
    <n v="26"/>
    <x v="2"/>
    <x v="6"/>
    <s v="valerie.carr@rediffmail.com"/>
    <s v="981 Emily Stream, South Brianna, CO 98063"/>
    <s v="OID6898"/>
    <x v="45"/>
    <s v="22:08:17"/>
    <x v="28"/>
    <n v="431.44"/>
    <n v="5"/>
    <x v="0"/>
    <s v="8%"/>
    <n v="2"/>
    <x v="1"/>
    <n v="57"/>
    <d v="2024-01-27T00:00:00"/>
    <n v="5"/>
    <s v="06:23:07"/>
    <n v="177.13599999999997"/>
    <n v="2157.1999999999998"/>
    <n v="2214.1999999999998"/>
    <n v="2037.0639999999999"/>
  </r>
  <r>
    <x v="35"/>
    <s v="Aaron Thompson"/>
    <s v="Aaron"/>
    <s v="Thompson"/>
    <n v="47"/>
    <x v="1"/>
    <x v="3"/>
    <s v="aaron.thompson@gmail.com"/>
    <s v="PSC 0550, Box 2737, APO AE 75772"/>
    <s v="OID7606"/>
    <x v="46"/>
    <s v="19:20:51"/>
    <x v="21"/>
    <n v="157.63999999999999"/>
    <n v="4"/>
    <x v="0"/>
    <s v="8%"/>
    <n v="4"/>
    <x v="1"/>
    <n v="44"/>
    <d v="2023-05-15T00:00:00"/>
    <n v="7"/>
    <s v="07:23:46"/>
    <n v="53.964799999999968"/>
    <n v="630.55999999999995"/>
    <n v="674.56"/>
    <n v="620.59519999999998"/>
  </r>
  <r>
    <x v="36"/>
    <s v="Jason Lopez"/>
    <s v="Jason"/>
    <s v="Lopez"/>
    <n v="40"/>
    <x v="2"/>
    <x v="6"/>
    <s v="jason.lopez@outlook.com"/>
    <s v="934 Levine View, Brentport, NE 38210"/>
    <s v="OID6503"/>
    <x v="47"/>
    <s v="00:57:17"/>
    <x v="1"/>
    <n v="166.28"/>
    <n v="4"/>
    <x v="2"/>
    <s v="0 delivery charge"/>
    <n v="3"/>
    <x v="1"/>
    <n v="41"/>
    <d v="2024-11-30T00:00:00"/>
    <n v="6"/>
    <s v="09:51:58"/>
    <n v="41"/>
    <n v="665.12"/>
    <n v="706.12"/>
    <n v="665.12"/>
  </r>
  <r>
    <x v="37"/>
    <s v="Alexandra Smith"/>
    <s v="Alexandra"/>
    <s v="Smith"/>
    <n v="70"/>
    <x v="0"/>
    <x v="0"/>
    <s v="alexandra.smith@rediffmail.com"/>
    <s v="48611 Clark Village, West Anne, GA 92865"/>
    <s v="OID3616"/>
    <x v="48"/>
    <s v="04:25:34"/>
    <x v="14"/>
    <n v="20.7"/>
    <n v="2"/>
    <x v="4"/>
    <s v="10%"/>
    <n v="2"/>
    <x v="2"/>
    <n v="50"/>
    <d v="2024-09-12T00:00:00"/>
    <n v="2"/>
    <s v="00:47:31"/>
    <n v="9.14"/>
    <n v="41.4"/>
    <n v="91.4"/>
    <n v="82.26"/>
  </r>
  <r>
    <x v="31"/>
    <s v="Donna Oneill"/>
    <s v="Donna"/>
    <s v="Oneill"/>
    <n v="70"/>
    <x v="0"/>
    <x v="6"/>
    <s v="donna.oneill@yahoo.com"/>
    <s v="464 Carolyn Crest Suite 738, Lake Isaiah, CA 66153"/>
    <s v="OID2170"/>
    <x v="29"/>
    <s v="07:52:23"/>
    <x v="23"/>
    <n v="129.75"/>
    <n v="2"/>
    <x v="3"/>
    <s v="20%"/>
    <n v="5"/>
    <x v="0"/>
    <n v="42"/>
    <d v="2023-10-28T00:00:00"/>
    <n v="3"/>
    <s v="17:14:10"/>
    <n v="60.299999999999983"/>
    <n v="259.5"/>
    <n v="301.5"/>
    <n v="241.20000000000002"/>
  </r>
  <r>
    <x v="38"/>
    <s v="John Ramirez"/>
    <s v="John"/>
    <s v="Ramirez"/>
    <n v="28"/>
    <x v="2"/>
    <x v="4"/>
    <s v="john.ramirez@outlook.com"/>
    <s v="02797 Martin Landing, South Michelle, VT 98781"/>
    <s v="OID1956"/>
    <x v="49"/>
    <s v="15:34:34"/>
    <x v="29"/>
    <n v="44.5"/>
    <n v="4"/>
    <x v="0"/>
    <s v="8%"/>
    <n v="2"/>
    <x v="1"/>
    <n v="40"/>
    <d v="2024-03-17T00:00:00"/>
    <n v="3"/>
    <s v="01:12:58"/>
    <n v="17.439999999999998"/>
    <n v="178"/>
    <n v="218"/>
    <n v="200.56"/>
  </r>
  <r>
    <x v="39"/>
    <s v="Amanda Howard"/>
    <s v="Amanda"/>
    <s v="Howard"/>
    <n v="52"/>
    <x v="2"/>
    <x v="7"/>
    <s v="amanda.howard@outlook.com"/>
    <s v="56908 Sydney Park Suite 632, West Anthonyport, NC 15954"/>
    <s v="OID8620"/>
    <x v="50"/>
    <s v="01:45:28"/>
    <x v="19"/>
    <n v="128.13999999999999"/>
    <n v="5"/>
    <x v="1"/>
    <s v="15%"/>
    <n v="2"/>
    <x v="2"/>
    <n v="57"/>
    <d v="2023-08-09T00:00:00"/>
    <n v="2"/>
    <s v="07:09:53"/>
    <n v="104.65499999999997"/>
    <n v="640.69999999999993"/>
    <n v="697.69999999999993"/>
    <n v="593.04499999999996"/>
  </r>
  <r>
    <x v="27"/>
    <s v="Valerie Carr"/>
    <s v="Valerie"/>
    <s v="Carr"/>
    <n v="26"/>
    <x v="2"/>
    <x v="6"/>
    <s v="valerie.carr@rediffmail.com"/>
    <s v="981 Emily Stream, South Brianna, CO 98063"/>
    <s v="OID4770"/>
    <x v="51"/>
    <s v="12:30:02"/>
    <x v="30"/>
    <n v="369.03"/>
    <n v="2"/>
    <x v="4"/>
    <s v="10%"/>
    <n v="4"/>
    <x v="1"/>
    <n v="46"/>
    <d v="2024-01-27T00:00:00"/>
    <n v="6"/>
    <s v="07:53:31"/>
    <n v="78.405999999999949"/>
    <n v="738.06"/>
    <n v="784.06"/>
    <n v="705.654"/>
  </r>
  <r>
    <x v="38"/>
    <s v="John Ramirez"/>
    <s v="John"/>
    <s v="Ramirez"/>
    <n v="28"/>
    <x v="2"/>
    <x v="4"/>
    <s v="john.ramirez@outlook.com"/>
    <s v="02797 Martin Landing, South Michelle, VT 98781"/>
    <s v="OID9880"/>
    <x v="52"/>
    <s v="04:32:42"/>
    <x v="5"/>
    <n v="363.64"/>
    <n v="1"/>
    <x v="4"/>
    <s v="10%"/>
    <n v="3"/>
    <x v="1"/>
    <n v="70"/>
    <d v="2024-11-10T00:00:00"/>
    <n v="7"/>
    <s v="08:48:02"/>
    <n v="43.363999999999976"/>
    <n v="363.64"/>
    <n v="433.64"/>
    <n v="390.27600000000001"/>
  </r>
  <r>
    <x v="40"/>
    <s v="Mary Knight"/>
    <s v="Mary"/>
    <s v="Knight"/>
    <n v="28"/>
    <x v="2"/>
    <x v="2"/>
    <s v="mary.knight@yahoo.com"/>
    <s v="907 Kimberly Hill, Murrayfort, NH 88384"/>
    <s v="OID2152"/>
    <x v="53"/>
    <s v="14:13:38"/>
    <x v="3"/>
    <n v="405"/>
    <n v="1"/>
    <x v="2"/>
    <s v="0 delivery charge"/>
    <n v="5"/>
    <x v="0"/>
    <n v="44"/>
    <d v="2023-11-03T00:00:00"/>
    <n v="4"/>
    <s v="16:08:19"/>
    <n v="44"/>
    <n v="405"/>
    <n v="449"/>
    <n v="405"/>
  </r>
  <r>
    <x v="41"/>
    <s v="Marcus Rogers"/>
    <s v="Marcus"/>
    <s v="Rogers"/>
    <n v="36"/>
    <x v="1"/>
    <x v="0"/>
    <s v="marcus.rogers@outlook.com"/>
    <s v="06912 Brown Pine Apt. 763, Teresamouth, HI 24377"/>
    <s v="OID2991"/>
    <x v="54"/>
    <s v="02:09:48"/>
    <x v="20"/>
    <n v="62.42"/>
    <n v="2"/>
    <x v="1"/>
    <s v="15%"/>
    <n v="1"/>
    <x v="1"/>
    <n v="53"/>
    <d v="2023-08-16T00:00:00"/>
    <n v="5"/>
    <s v="03:08:52"/>
    <n v="26.676000000000016"/>
    <n v="124.84"/>
    <n v="177.84"/>
    <n v="151.16399999999999"/>
  </r>
  <r>
    <x v="42"/>
    <s v="Brian Kennedy"/>
    <s v="Brian"/>
    <s v="Kennedy"/>
    <n v="69"/>
    <x v="0"/>
    <x v="0"/>
    <s v="brian.kennedy@outlook.com"/>
    <s v="25126 Nancy Fort Suite 568, Alexandrachester, AZ 44823"/>
    <s v="OID5607"/>
    <x v="55"/>
    <s v="16:10:50"/>
    <x v="14"/>
    <n v="20.7"/>
    <n v="5"/>
    <x v="1"/>
    <s v="15%"/>
    <n v="7"/>
    <x v="0"/>
    <n v="57"/>
    <d v="2023-10-19T00:00:00"/>
    <n v="5"/>
    <s v="15:21:29"/>
    <n v="24.075000000000017"/>
    <n v="103.5"/>
    <n v="160.5"/>
    <n v="136.42499999999998"/>
  </r>
  <r>
    <x v="43"/>
    <s v="Rebecca Figueroa"/>
    <s v="Rebecca"/>
    <s v="Figueroa"/>
    <n v="63"/>
    <x v="0"/>
    <x v="4"/>
    <s v="rebecca.figueroa@outlook.com"/>
    <s v="3959 Bell Dale, North Jacob, LA 07934"/>
    <s v="OID8169"/>
    <x v="56"/>
    <s v="09:43:27"/>
    <x v="5"/>
    <n v="363.64"/>
    <n v="3"/>
    <x v="4"/>
    <s v="10%"/>
    <n v="6"/>
    <x v="1"/>
    <n v="69"/>
    <d v="2025-01-05T00:00:00"/>
    <n v="7"/>
    <s v="00:00:42"/>
    <n v="115.99199999999996"/>
    <n v="1090.92"/>
    <n v="1159.92"/>
    <n v="1043.9280000000001"/>
  </r>
  <r>
    <x v="44"/>
    <s v="Lori Cook"/>
    <s v="Lori"/>
    <s v="Cook"/>
    <n v="18"/>
    <x v="1"/>
    <x v="1"/>
    <s v="lori.cook@rediffmail.com"/>
    <s v="86837 Bell Meadows, North Jasonshire, UT 51354"/>
    <s v="OID5832"/>
    <x v="57"/>
    <s v="02:34:25"/>
    <x v="31"/>
    <n v="286.07"/>
    <n v="3"/>
    <x v="3"/>
    <s v="20%"/>
    <n v="2"/>
    <x v="1"/>
    <n v="54"/>
    <d v="2023-02-20T00:00:00"/>
    <n v="5"/>
    <s v="13:09:47"/>
    <n v="182.44200000000001"/>
    <n v="858.21"/>
    <n v="912.21"/>
    <n v="729.76800000000003"/>
  </r>
  <r>
    <x v="45"/>
    <s v="Debra Hayes"/>
    <s v="Debra"/>
    <s v="Hayes"/>
    <n v="33"/>
    <x v="0"/>
    <x v="6"/>
    <s v="debra.hayes@yahoo.com"/>
    <s v="4601 Miller Lock, Williamsbury, IA 10943"/>
    <s v="OID7806"/>
    <x v="58"/>
    <s v="02:46:19"/>
    <x v="32"/>
    <n v="87.09"/>
    <n v="4"/>
    <x v="2"/>
    <s v="0 delivery charge"/>
    <n v="6"/>
    <x v="0"/>
    <n v="63"/>
    <d v="2024-05-27T00:00:00"/>
    <n v="4"/>
    <s v="20:00:32"/>
    <n v="63"/>
    <n v="348.36"/>
    <n v="411.36"/>
    <n v="348.36"/>
  </r>
  <r>
    <x v="46"/>
    <s v="Brittany Stewart"/>
    <s v="Brittany"/>
    <s v="Stewart"/>
    <n v="68"/>
    <x v="2"/>
    <x v="7"/>
    <s v="brittany.stewart@gmail.com"/>
    <s v="6250 David Loaf Suite 561, North Pamelaberg, WV 63652"/>
    <s v="OID4875"/>
    <x v="59"/>
    <s v="18:25:37"/>
    <x v="6"/>
    <n v="275.44"/>
    <n v="4"/>
    <x v="0"/>
    <s v="8%"/>
    <n v="4"/>
    <x v="1"/>
    <n v="40"/>
    <d v="2023-03-22T00:00:00"/>
    <n v="5"/>
    <s v="15:52:25"/>
    <n v="91.340799999999945"/>
    <n v="1101.76"/>
    <n v="1141.76"/>
    <n v="1050.4192"/>
  </r>
  <r>
    <x v="47"/>
    <s v="Mitchell Parker"/>
    <s v="Mitchell"/>
    <s v="Parker"/>
    <n v="39"/>
    <x v="2"/>
    <x v="1"/>
    <s v="mitchell.parker@yahoo.com"/>
    <s v="PSC 3316, Box 9303, APO AE 29513"/>
    <s v="OID4070"/>
    <x v="60"/>
    <s v="19:18:19"/>
    <x v="33"/>
    <n v="421.7"/>
    <n v="1"/>
    <x v="4"/>
    <s v="10%"/>
    <n v="3"/>
    <x v="1"/>
    <n v="59"/>
    <d v="2025-01-27T00:00:00"/>
    <n v="4"/>
    <s v="02:44:55"/>
    <n v="48.069999999999993"/>
    <n v="421.7"/>
    <n v="480.7"/>
    <n v="432.63"/>
  </r>
  <r>
    <x v="20"/>
    <s v="John Herrera"/>
    <s v="John"/>
    <s v="Herrera"/>
    <n v="64"/>
    <x v="1"/>
    <x v="1"/>
    <s v="john.herrera@outlook.com"/>
    <s v="61263 Jacob Isle, Amandatown, TN 34321"/>
    <s v="OID7679"/>
    <x v="61"/>
    <s v="09:15:50"/>
    <x v="12"/>
    <n v="272.51"/>
    <n v="1"/>
    <x v="3"/>
    <s v="20%"/>
    <n v="4"/>
    <x v="0"/>
    <n v="43"/>
    <d v="2024-12-04T00:00:00"/>
    <n v="1"/>
    <s v="09:05:06"/>
    <n v="63.101999999999975"/>
    <n v="272.51"/>
    <n v="315.51"/>
    <n v="252.40800000000002"/>
  </r>
  <r>
    <x v="48"/>
    <s v="Sharon Thompson"/>
    <s v="Sharon"/>
    <s v="Thompson"/>
    <n v="57"/>
    <x v="1"/>
    <x v="7"/>
    <s v="sharon.thompson@yahoo.com"/>
    <s v="598 Jasmine Harbor, Turnerberg, SD 02371"/>
    <s v="OID3097"/>
    <x v="62"/>
    <s v="02:51:35"/>
    <x v="9"/>
    <n v="175.93"/>
    <n v="3"/>
    <x v="0"/>
    <s v="8%"/>
    <n v="4"/>
    <x v="1"/>
    <n v="46"/>
    <d v="2024-02-29T00:00:00"/>
    <n v="5"/>
    <s v="05:56:26"/>
    <n v="45.90319999999997"/>
    <n v="527.79"/>
    <n v="573.79"/>
    <n v="527.88679999999999"/>
  </r>
  <r>
    <x v="49"/>
    <s v="Sarah Butler"/>
    <s v="Sarah"/>
    <s v="Butler"/>
    <n v="64"/>
    <x v="0"/>
    <x v="0"/>
    <s v="sarah.butler@rediffmail.com"/>
    <s v="14131 Edwin Shore Apt. 190, Deniseberg, MD 90905"/>
    <s v="OID8869"/>
    <x v="63"/>
    <s v="20:59:40"/>
    <x v="34"/>
    <n v="136.30000000000001"/>
    <n v="5"/>
    <x v="1"/>
    <s v="15%"/>
    <n v="6"/>
    <x v="1"/>
    <n v="39"/>
    <d v="2024-08-06T00:00:00"/>
    <n v="7"/>
    <s v="23:33:51"/>
    <n v="108.07500000000005"/>
    <n v="681.5"/>
    <n v="720.5"/>
    <n v="612.42499999999995"/>
  </r>
  <r>
    <x v="22"/>
    <s v="Ashley Rose"/>
    <s v="Ashley"/>
    <s v="Rose"/>
    <n v="60"/>
    <x v="2"/>
    <x v="0"/>
    <s v="ashley.rose@gmail.com"/>
    <s v="424 Nichols Curve Suite 177, Lake Brianview, TX 17289"/>
    <s v="OID2686"/>
    <x v="64"/>
    <s v="17:00:22"/>
    <x v="35"/>
    <n v="441.03"/>
    <n v="2"/>
    <x v="4"/>
    <s v="10%"/>
    <n v="3"/>
    <x v="1"/>
    <n v="49"/>
    <d v="2024-06-15T00:00:00"/>
    <n v="7"/>
    <s v="12:18:47"/>
    <n v="93.105999999999995"/>
    <n v="882.06"/>
    <n v="931.06"/>
    <n v="837.95399999999995"/>
  </r>
  <r>
    <x v="50"/>
    <s v="Katherine Weber"/>
    <s v="Katherine"/>
    <s v="Weber"/>
    <n v="42"/>
    <x v="2"/>
    <x v="2"/>
    <s v="katherine.weber@outlook.com"/>
    <s v="04887 Kimberly Union Apt. 645, Port Laura, IL 97219"/>
    <s v="OID1046"/>
    <x v="65"/>
    <s v="22:51:56"/>
    <x v="30"/>
    <n v="369.03"/>
    <n v="4"/>
    <x v="3"/>
    <s v="20%"/>
    <n v="7"/>
    <x v="0"/>
    <n v="52"/>
    <d v="2024-02-05T00:00:00"/>
    <n v="5"/>
    <s v="07:24:20"/>
    <n v="305.62400000000002"/>
    <n v="1476.12"/>
    <n v="1528.12"/>
    <n v="1222.4959999999999"/>
  </r>
  <r>
    <x v="51"/>
    <s v="Jason Nguyen"/>
    <s v="Jason"/>
    <s v="Nguyen"/>
    <n v="51"/>
    <x v="2"/>
    <x v="4"/>
    <s v="jason.nguyen@yahoo.com"/>
    <s v="7112 Travis Glens Suite 790, Crystalland, WV 38373"/>
    <s v="OID8953"/>
    <x v="66"/>
    <s v="12:19:34"/>
    <x v="27"/>
    <n v="496.59"/>
    <n v="4"/>
    <x v="1"/>
    <s v="15%"/>
    <n v="7"/>
    <x v="0"/>
    <n v="36"/>
    <d v="2023-12-20T00:00:00"/>
    <n v="3"/>
    <s v="10:04:54"/>
    <n v="303.35400000000004"/>
    <n v="1986.36"/>
    <n v="2022.36"/>
    <n v="1719.0059999999999"/>
  </r>
  <r>
    <x v="52"/>
    <s v="Brandon Cruz"/>
    <s v="Brandon"/>
    <s v="Cruz"/>
    <n v="32"/>
    <x v="2"/>
    <x v="3"/>
    <s v="brandon.cruz@gmail.com"/>
    <s v="9296 Villanueva Branch, East Kevin, CO 93912"/>
    <s v="OID1157"/>
    <x v="67"/>
    <s v="15:26:04"/>
    <x v="27"/>
    <n v="496.59"/>
    <n v="2"/>
    <x v="0"/>
    <s v="8%"/>
    <n v="5"/>
    <x v="0"/>
    <n v="41"/>
    <d v="2024-10-23T00:00:00"/>
    <n v="2"/>
    <s v="08:17:58"/>
    <n v="82.734399999999937"/>
    <n v="993.18"/>
    <n v="1034.1799999999998"/>
    <n v="951.4455999999999"/>
  </r>
  <r>
    <x v="0"/>
    <s v="Anne Oconnell"/>
    <s v="Anne"/>
    <s v="Oconnell"/>
    <n v="37"/>
    <x v="0"/>
    <x v="0"/>
    <s v="anne.oconnell@outlook.com"/>
    <s v="2850 Matthew Ford, North Yolandachester, FL 67488"/>
    <s v="OID7358"/>
    <x v="68"/>
    <s v="19:49:32"/>
    <x v="0"/>
    <n v="308.88"/>
    <n v="1"/>
    <x v="2"/>
    <s v="0 delivery charge"/>
    <n v="6"/>
    <x v="0"/>
    <n v="62"/>
    <d v="2024-10-04T00:00:00"/>
    <n v="2"/>
    <s v="22:41:33"/>
    <n v="62"/>
    <n v="308.88"/>
    <n v="370.88"/>
    <n v="308.88"/>
  </r>
  <r>
    <x v="53"/>
    <s v="Jodi Whitney"/>
    <s v="Jodi"/>
    <s v="Whitney"/>
    <n v="33"/>
    <x v="2"/>
    <x v="6"/>
    <s v="jodi.whitney@yahoo.com"/>
    <s v="72876 Lara Key Suite 383, Gutierrezton, OR 71683"/>
    <s v="OID7453"/>
    <x v="69"/>
    <s v="21:08:59"/>
    <x v="36"/>
    <n v="425.59"/>
    <n v="4"/>
    <x v="2"/>
    <s v="0 delivery charge"/>
    <n v="6"/>
    <x v="0"/>
    <n v="53"/>
    <d v="2024-07-23T00:00:00"/>
    <n v="1"/>
    <s v="10:39:08"/>
    <n v="53"/>
    <n v="1702.36"/>
    <n v="1755.36"/>
    <n v="1702.36"/>
  </r>
  <r>
    <x v="19"/>
    <s v="Mark Henderson"/>
    <s v="Mark"/>
    <s v="Henderson"/>
    <n v="33"/>
    <x v="2"/>
    <x v="7"/>
    <s v="mark.henderson@yahoo.com"/>
    <s v="90155 Hines Spring, North Theresafurt, ME 31920"/>
    <s v="OID1573"/>
    <x v="70"/>
    <s v="05:40:38"/>
    <x v="0"/>
    <n v="308.88"/>
    <n v="1"/>
    <x v="4"/>
    <s v="10%"/>
    <n v="1"/>
    <x v="1"/>
    <n v="56"/>
    <d v="2024-03-09T00:00:00"/>
    <n v="5"/>
    <s v="05:38:59"/>
    <n v="36.488"/>
    <n v="308.88"/>
    <n v="364.88"/>
    <n v="328.392"/>
  </r>
  <r>
    <x v="42"/>
    <s v="Brian Kennedy"/>
    <s v="Brian"/>
    <s v="Kennedy"/>
    <n v="69"/>
    <x v="0"/>
    <x v="0"/>
    <s v="brian.kennedy@outlook.com"/>
    <s v="25126 Nancy Fort Suite 568, Alexandrachester, AZ 44823"/>
    <s v="OID5696"/>
    <x v="71"/>
    <s v="17:56:01"/>
    <x v="28"/>
    <n v="431.44"/>
    <n v="5"/>
    <x v="1"/>
    <s v="15%"/>
    <n v="6"/>
    <x v="1"/>
    <n v="59"/>
    <d v="2023-08-01T00:00:00"/>
    <n v="7"/>
    <s v="15:52:42"/>
    <n v="332.43000000000006"/>
    <n v="2157.1999999999998"/>
    <n v="2216.1999999999998"/>
    <n v="1883.7699999999998"/>
  </r>
  <r>
    <x v="42"/>
    <s v="Brian Kennedy"/>
    <s v="Brian"/>
    <s v="Kennedy"/>
    <n v="69"/>
    <x v="0"/>
    <x v="0"/>
    <s v="brian.kennedy@outlook.com"/>
    <s v="25126 Nancy Fort Suite 568, Alexandrachester, AZ 44823"/>
    <s v="OID3467"/>
    <x v="72"/>
    <s v="23:34:28"/>
    <x v="37"/>
    <n v="133.62"/>
    <n v="2"/>
    <x v="4"/>
    <s v="10%"/>
    <n v="4"/>
    <x v="0"/>
    <n v="50"/>
    <d v="2024-12-25T00:00:00"/>
    <n v="1"/>
    <s v="02:05:20"/>
    <n v="31.72399999999999"/>
    <n v="267.24"/>
    <n v="317.24"/>
    <n v="285.51600000000002"/>
  </r>
  <r>
    <x v="25"/>
    <s v="Teresa Harvey"/>
    <s v="Teresa"/>
    <s v="Harvey"/>
    <n v="64"/>
    <x v="2"/>
    <x v="0"/>
    <s v="teresa.harvey@gmail.com"/>
    <s v="02669 Kirk Squares, Davisville, VA 51272"/>
    <s v="OID8542"/>
    <x v="7"/>
    <s v="03:04:26"/>
    <x v="5"/>
    <n v="363.64"/>
    <n v="3"/>
    <x v="2"/>
    <s v="0 delivery charge"/>
    <n v="7"/>
    <x v="0"/>
    <n v="41"/>
    <d v="2024-06-18T00:00:00"/>
    <n v="2"/>
    <s v="16:05:07"/>
    <n v="41"/>
    <n v="1090.92"/>
    <n v="1131.92"/>
    <n v="1090.92"/>
  </r>
  <r>
    <x v="1"/>
    <s v="Anthony Thomas"/>
    <s v="Anthony"/>
    <s v="Thomas"/>
    <n v="53"/>
    <x v="1"/>
    <x v="1"/>
    <s v="anthony.thomas@rediffmail.com"/>
    <s v="931 Christopher Ways Suite 833, North Michelle, IN 53484"/>
    <s v="OID1520"/>
    <x v="73"/>
    <s v="04:27:04"/>
    <x v="19"/>
    <n v="128.13999999999999"/>
    <n v="1"/>
    <x v="0"/>
    <s v="8%"/>
    <n v="7"/>
    <x v="0"/>
    <n v="70"/>
    <d v="2023-04-29T00:00:00"/>
    <n v="4"/>
    <s v="07:38:34"/>
    <n v="15.851199999999977"/>
    <n v="128.13999999999999"/>
    <n v="198.14"/>
    <n v="182.28880000000001"/>
  </r>
  <r>
    <x v="35"/>
    <s v="Aaron Thompson"/>
    <s v="Aaron"/>
    <s v="Thompson"/>
    <n v="47"/>
    <x v="1"/>
    <x v="3"/>
    <s v="aaron.thompson@gmail.com"/>
    <s v="PSC 0550, Box 2737, APO AE 75772"/>
    <s v="OID2157"/>
    <x v="74"/>
    <s v="23:24:39"/>
    <x v="38"/>
    <n v="477.52"/>
    <n v="2"/>
    <x v="0"/>
    <s v="8%"/>
    <n v="6"/>
    <x v="0"/>
    <n v="55"/>
    <d v="2025-01-28T00:00:00"/>
    <n v="2"/>
    <s v="01:07:36"/>
    <n v="80.803199999999947"/>
    <n v="955.04"/>
    <n v="1010.04"/>
    <n v="929.23680000000002"/>
  </r>
  <r>
    <x v="54"/>
    <s v="Ashley Romero"/>
    <s v="Ashley"/>
    <s v="Romero"/>
    <n v="35"/>
    <x v="0"/>
    <x v="0"/>
    <s v="ashley.romero@yahoo.com"/>
    <s v="547 Kerry Expressway, Lake Amanda, AR 20321"/>
    <s v="OID6374"/>
    <x v="46"/>
    <s v="18:54:33"/>
    <x v="17"/>
    <n v="126.19"/>
    <n v="3"/>
    <x v="2"/>
    <s v="0 delivery charge"/>
    <n v="5"/>
    <x v="0"/>
    <n v="40"/>
    <d v="2023-05-12T00:00:00"/>
    <n v="4"/>
    <s v="16:14:09"/>
    <n v="40"/>
    <n v="378.57"/>
    <n v="418.57"/>
    <n v="378.57"/>
  </r>
  <r>
    <x v="38"/>
    <s v="John Ramirez"/>
    <s v="John"/>
    <s v="Ramirez"/>
    <n v="28"/>
    <x v="2"/>
    <x v="4"/>
    <s v="john.ramirez@outlook.com"/>
    <s v="02797 Martin Landing, South Michelle, VT 98781"/>
    <s v="OID6555"/>
    <x v="75"/>
    <s v="10:55:08"/>
    <x v="24"/>
    <n v="481.48"/>
    <n v="4"/>
    <x v="4"/>
    <s v="10%"/>
    <n v="1"/>
    <x v="1"/>
    <n v="36"/>
    <d v="2024-06-04T00:00:00"/>
    <n v="4"/>
    <s v="10:56:05"/>
    <n v="196.19200000000001"/>
    <n v="1925.92"/>
    <n v="1961.92"/>
    <n v="1765.7280000000001"/>
  </r>
  <r>
    <x v="45"/>
    <s v="Debra Hayes"/>
    <s v="Debra"/>
    <s v="Hayes"/>
    <n v="33"/>
    <x v="0"/>
    <x v="6"/>
    <s v="debra.hayes@yahoo.com"/>
    <s v="4601 Miller Lock, Williamsbury, IA 10943"/>
    <s v="OID5850"/>
    <x v="76"/>
    <s v="19:40:45"/>
    <x v="0"/>
    <n v="308.88"/>
    <n v="3"/>
    <x v="1"/>
    <s v="15%"/>
    <n v="4"/>
    <x v="0"/>
    <n v="48"/>
    <d v="2025-01-21T00:00:00"/>
    <n v="3"/>
    <s v="20:24:13"/>
    <n v="146.19600000000003"/>
    <n v="926.64"/>
    <n v="974.64"/>
    <n v="828.44399999999996"/>
  </r>
  <r>
    <x v="18"/>
    <s v="Christian Clayton"/>
    <s v="Christian"/>
    <s v="Clayton"/>
    <n v="39"/>
    <x v="1"/>
    <x v="5"/>
    <s v="christian.clayton@yahoo.com"/>
    <s v="065 Madison Way, Smithstad, CT 68011"/>
    <s v="OID8041"/>
    <x v="77"/>
    <s v="02:08:49"/>
    <x v="39"/>
    <n v="403.03"/>
    <n v="1"/>
    <x v="3"/>
    <s v="20%"/>
    <n v="3"/>
    <x v="0"/>
    <n v="52"/>
    <d v="2024-08-22T00:00:00"/>
    <n v="1"/>
    <s v="15:38:07"/>
    <n v="91.005999999999972"/>
    <n v="403.03"/>
    <n v="455.03"/>
    <n v="364.024"/>
  </r>
  <r>
    <x v="55"/>
    <s v="William Mann"/>
    <s v="William"/>
    <s v="Mann"/>
    <n v="21"/>
    <x v="0"/>
    <x v="1"/>
    <s v="william.mann@yahoo.com"/>
    <s v="849 Tran Wells, New Lindsayville, WI 22669"/>
    <s v="OID5605"/>
    <x v="73"/>
    <s v="01:05:15"/>
    <x v="4"/>
    <n v="330.11"/>
    <n v="2"/>
    <x v="0"/>
    <s v="8%"/>
    <n v="3"/>
    <x v="1"/>
    <n v="64"/>
    <d v="2023-04-30T00:00:00"/>
    <n v="5"/>
    <s v="13:48:26"/>
    <n v="57.937599999999975"/>
    <n v="660.22"/>
    <n v="724.22"/>
    <n v="666.28240000000005"/>
  </r>
  <r>
    <x v="38"/>
    <s v="John Ramirez"/>
    <s v="John"/>
    <s v="Ramirez"/>
    <n v="28"/>
    <x v="2"/>
    <x v="4"/>
    <s v="john.ramirez@outlook.com"/>
    <s v="02797 Martin Landing, South Michelle, VT 98781"/>
    <s v="OID8388"/>
    <x v="65"/>
    <s v="04:27:02"/>
    <x v="20"/>
    <n v="62.42"/>
    <n v="1"/>
    <x v="3"/>
    <s v="20%"/>
    <n v="6"/>
    <x v="1"/>
    <n v="53"/>
    <d v="2024-02-07T00:00:00"/>
    <n v="7"/>
    <s v="09:07:52"/>
    <n v="23.083999999999989"/>
    <n v="62.42"/>
    <n v="115.42"/>
    <n v="92.336000000000013"/>
  </r>
  <r>
    <x v="56"/>
    <s v="Kelli Smith"/>
    <s v="Kelli"/>
    <s v="Smith"/>
    <n v="18"/>
    <x v="1"/>
    <x v="1"/>
    <s v="kelli.smith@rediffmail.com"/>
    <s v="788 Kristina Lane, Montoyaside, VA 90756"/>
    <s v="OID5787"/>
    <x v="78"/>
    <s v="15:22:10"/>
    <x v="4"/>
    <n v="330.11"/>
    <n v="1"/>
    <x v="3"/>
    <s v="20%"/>
    <n v="4"/>
    <x v="0"/>
    <n v="67"/>
    <d v="2024-12-01T00:00:00"/>
    <n v="2"/>
    <s v="13:15:51"/>
    <n v="79.421999999999969"/>
    <n v="330.11"/>
    <n v="397.11"/>
    <n v="317.68800000000005"/>
  </r>
  <r>
    <x v="26"/>
    <s v="Heather Schneider"/>
    <s v="Heather"/>
    <s v="Schneider"/>
    <n v="48"/>
    <x v="1"/>
    <x v="3"/>
    <s v="heather.schneider@outlook.com"/>
    <s v="57940 Susan Creek Apt. 541, Port Aliciamouth, OR 90221"/>
    <s v="OID3140"/>
    <x v="79"/>
    <s v="19:45:13"/>
    <x v="7"/>
    <n v="48.45"/>
    <n v="1"/>
    <x v="1"/>
    <s v="15%"/>
    <n v="6"/>
    <x v="1"/>
    <n v="66"/>
    <d v="2024-08-08T00:00:00"/>
    <n v="7"/>
    <s v="13:53:47"/>
    <n v="17.167500000000004"/>
    <n v="48.45"/>
    <n v="114.45"/>
    <n v="97.282499999999999"/>
  </r>
  <r>
    <x v="48"/>
    <s v="Sharon Thompson"/>
    <s v="Sharon"/>
    <s v="Thompson"/>
    <n v="57"/>
    <x v="1"/>
    <x v="7"/>
    <s v="sharon.thompson@yahoo.com"/>
    <s v="598 Jasmine Harbor, Turnerberg, SD 02371"/>
    <s v="OID6771"/>
    <x v="80"/>
    <s v="01:09:33"/>
    <x v="3"/>
    <n v="405"/>
    <n v="2"/>
    <x v="2"/>
    <s v="0 delivery charge"/>
    <n v="4"/>
    <x v="1"/>
    <n v="70"/>
    <d v="2023-11-27T00:00:00"/>
    <n v="5"/>
    <s v="21:18:20"/>
    <n v="70"/>
    <n v="810"/>
    <n v="880"/>
    <n v="810"/>
  </r>
  <r>
    <x v="48"/>
    <s v="Sharon Thompson"/>
    <s v="Sharon"/>
    <s v="Thompson"/>
    <n v="57"/>
    <x v="1"/>
    <x v="7"/>
    <s v="sharon.thompson@yahoo.com"/>
    <s v="598 Jasmine Harbor, Turnerberg, SD 02371"/>
    <s v="OID8988"/>
    <x v="81"/>
    <s v="07:05:58"/>
    <x v="27"/>
    <n v="496.59"/>
    <n v="2"/>
    <x v="4"/>
    <s v="10%"/>
    <n v="1"/>
    <x v="1"/>
    <n v="46"/>
    <d v="2024-11-02T00:00:00"/>
    <n v="3"/>
    <s v="17:13:41"/>
    <n v="103.91800000000001"/>
    <n v="993.18"/>
    <n v="1039.1799999999998"/>
    <n v="935.26199999999983"/>
  </r>
  <r>
    <x v="6"/>
    <s v="Marcus Valenzuela"/>
    <s v="Marcus"/>
    <s v="Valenzuela"/>
    <n v="39"/>
    <x v="0"/>
    <x v="0"/>
    <s v="marcus.valenzuela@yahoo.com"/>
    <s v="694 Graham Prairie Apt. 887, Jimenezfurt, MI 33044"/>
    <s v="OID9398"/>
    <x v="82"/>
    <s v="07:48:29"/>
    <x v="7"/>
    <n v="48.45"/>
    <n v="1"/>
    <x v="3"/>
    <s v="20%"/>
    <n v="4"/>
    <x v="0"/>
    <n v="66"/>
    <d v="2023-10-29T00:00:00"/>
    <n v="1"/>
    <s v="23:09:43"/>
    <n v="22.89"/>
    <n v="48.45"/>
    <n v="114.45"/>
    <n v="91.56"/>
  </r>
  <r>
    <x v="57"/>
    <s v="Joseph Gaines"/>
    <s v="Joseph"/>
    <s v="Gaines"/>
    <n v="47"/>
    <x v="2"/>
    <x v="2"/>
    <s v="joseph.gaines@outlook.com"/>
    <s v="37549 Pope Isle Apt. 202, Tylerborough, MO 60042"/>
    <s v="OID9822"/>
    <x v="83"/>
    <s v="12:17:34"/>
    <x v="28"/>
    <n v="431.44"/>
    <n v="1"/>
    <x v="2"/>
    <s v="0 delivery charge"/>
    <n v="7"/>
    <x v="0"/>
    <n v="35"/>
    <d v="2023-06-03T00:00:00"/>
    <n v="4"/>
    <s v="11:02:15"/>
    <n v="35"/>
    <n v="431.44"/>
    <n v="466.44"/>
    <n v="431.44"/>
  </r>
  <r>
    <x v="12"/>
    <s v="Joshua Campbell"/>
    <s v="Joshua"/>
    <s v="Campbell"/>
    <n v="24"/>
    <x v="0"/>
    <x v="5"/>
    <s v="joshua.campbell@gmail.com"/>
    <s v="70426 Lindsey Overpass Apt. 030, Jessicafurt, AR 46269"/>
    <s v="OID1269"/>
    <x v="84"/>
    <s v="19:02:37"/>
    <x v="31"/>
    <n v="286.07"/>
    <n v="5"/>
    <x v="1"/>
    <s v="15%"/>
    <n v="5"/>
    <x v="0"/>
    <n v="65"/>
    <d v="2024-09-23T00:00:00"/>
    <n v="3"/>
    <s v="00:56:16"/>
    <n v="224.30250000000001"/>
    <n v="1430.35"/>
    <n v="1495.35"/>
    <n v="1271.0474999999999"/>
  </r>
  <r>
    <x v="38"/>
    <s v="John Ramirez"/>
    <s v="John"/>
    <s v="Ramirez"/>
    <n v="28"/>
    <x v="2"/>
    <x v="4"/>
    <s v="john.ramirez@outlook.com"/>
    <s v="02797 Martin Landing, South Michelle, VT 98781"/>
    <s v="OID9915"/>
    <x v="69"/>
    <s v="03:34:35"/>
    <x v="17"/>
    <n v="126.19"/>
    <n v="2"/>
    <x v="0"/>
    <s v="8%"/>
    <n v="7"/>
    <x v="0"/>
    <n v="48"/>
    <d v="2024-07-23T00:00:00"/>
    <n v="1"/>
    <s v="00:26:45"/>
    <n v="24.030399999999986"/>
    <n v="252.38"/>
    <n v="300.38"/>
    <n v="276.34960000000001"/>
  </r>
  <r>
    <x v="24"/>
    <s v="Lauren Long"/>
    <s v="Lauren"/>
    <s v="Long"/>
    <n v="44"/>
    <x v="0"/>
    <x v="7"/>
    <s v="lauren.long@gmail.com"/>
    <s v="258 Michael Brooks Suite 363, Arnoldview, PA 49438"/>
    <s v="OID3348"/>
    <x v="85"/>
    <s v="17:05:21"/>
    <x v="40"/>
    <n v="445.81"/>
    <n v="5"/>
    <x v="1"/>
    <s v="15%"/>
    <n v="1"/>
    <x v="1"/>
    <n v="56"/>
    <d v="2024-01-22T00:00:00"/>
    <n v="6"/>
    <s v="06:56:06"/>
    <n v="342.75750000000016"/>
    <n v="2229.0500000000002"/>
    <n v="2285.0500000000002"/>
    <n v="1942.2925"/>
  </r>
  <r>
    <x v="58"/>
    <s v="Amy Ellis"/>
    <s v="Amy"/>
    <s v="Ellis"/>
    <n v="44"/>
    <x v="2"/>
    <x v="3"/>
    <s v="amy.ellis@gmail.com"/>
    <s v="217 Scott Ville, Christophermouth, NH 83776"/>
    <s v="OID8431"/>
    <x v="78"/>
    <s v="23:41:08"/>
    <x v="30"/>
    <n v="369.03"/>
    <n v="4"/>
    <x v="3"/>
    <s v="20%"/>
    <n v="4"/>
    <x v="1"/>
    <n v="56"/>
    <d v="2024-12-04T00:00:00"/>
    <n v="5"/>
    <s v="01:56:42"/>
    <n v="306.42399999999998"/>
    <n v="1476.12"/>
    <n v="1532.12"/>
    <n v="1225.6959999999999"/>
  </r>
  <r>
    <x v="59"/>
    <s v="Beth Mason"/>
    <s v="Beth"/>
    <s v="Mason"/>
    <n v="45"/>
    <x v="2"/>
    <x v="3"/>
    <s v="beth.mason@outlook.com"/>
    <s v="58998 Sherry Haven, East Richard, FL 90775"/>
    <s v="OID6943"/>
    <x v="86"/>
    <s v="04:48:30"/>
    <x v="41"/>
    <n v="433.62"/>
    <n v="2"/>
    <x v="3"/>
    <s v="20%"/>
    <n v="1"/>
    <x v="1"/>
    <n v="41"/>
    <d v="2024-08-06T00:00:00"/>
    <n v="6"/>
    <s v="10:01:40"/>
    <n v="181.64799999999991"/>
    <n v="867.24"/>
    <n v="908.24"/>
    <n v="726.5920000000001"/>
  </r>
  <r>
    <x v="49"/>
    <s v="Sarah Butler"/>
    <s v="Sarah"/>
    <s v="Butler"/>
    <n v="64"/>
    <x v="0"/>
    <x v="0"/>
    <s v="sarah.butler@rediffmail.com"/>
    <s v="14131 Edwin Shore Apt. 190, Deniseberg, MD 90905"/>
    <s v="OID6229"/>
    <x v="87"/>
    <s v="17:09:49"/>
    <x v="42"/>
    <n v="235.63"/>
    <n v="4"/>
    <x v="3"/>
    <s v="20%"/>
    <n v="2"/>
    <x v="1"/>
    <n v="60"/>
    <d v="2024-07-22T00:00:00"/>
    <n v="7"/>
    <s v="22:15:50"/>
    <n v="200.50399999999991"/>
    <n v="942.52"/>
    <n v="1002.52"/>
    <n v="802.01600000000008"/>
  </r>
  <r>
    <x v="20"/>
    <s v="John Herrera"/>
    <s v="John"/>
    <s v="Herrera"/>
    <n v="64"/>
    <x v="1"/>
    <x v="1"/>
    <s v="john.herrera@outlook.com"/>
    <s v="61263 Jacob Isle, Amandatown, TN 34321"/>
    <s v="OID6912"/>
    <x v="88"/>
    <s v="07:51:16"/>
    <x v="22"/>
    <n v="158.53"/>
    <n v="5"/>
    <x v="3"/>
    <s v="20%"/>
    <n v="1"/>
    <x v="1"/>
    <n v="57"/>
    <d v="2023-07-18T00:00:00"/>
    <n v="7"/>
    <s v="06:23:31"/>
    <n v="169.92999999999995"/>
    <n v="792.65"/>
    <n v="849.65"/>
    <n v="679.72"/>
  </r>
  <r>
    <x v="20"/>
    <s v="John Herrera"/>
    <s v="John"/>
    <s v="Herrera"/>
    <n v="64"/>
    <x v="1"/>
    <x v="1"/>
    <s v="john.herrera@outlook.com"/>
    <s v="61263 Jacob Isle, Amandatown, TN 34321"/>
    <s v="OID5081"/>
    <x v="89"/>
    <s v="21:43:03"/>
    <x v="4"/>
    <n v="330.11"/>
    <n v="3"/>
    <x v="1"/>
    <s v="15%"/>
    <n v="3"/>
    <x v="2"/>
    <n v="65"/>
    <d v="2023-09-17T00:00:00"/>
    <n v="3"/>
    <s v="01:29:42"/>
    <n v="158.29949999999997"/>
    <n v="990.33"/>
    <n v="1055.33"/>
    <n v="897.03049999999996"/>
  </r>
  <r>
    <x v="59"/>
    <s v="Beth Mason"/>
    <s v="Beth"/>
    <s v="Mason"/>
    <n v="45"/>
    <x v="2"/>
    <x v="3"/>
    <s v="beth.mason@outlook.com"/>
    <s v="58998 Sherry Haven, East Richard, FL 90775"/>
    <s v="OID5610"/>
    <x v="90"/>
    <s v="07:53:58"/>
    <x v="11"/>
    <n v="220.27"/>
    <n v="2"/>
    <x v="3"/>
    <s v="20%"/>
    <n v="1"/>
    <x v="1"/>
    <n v="63"/>
    <d v="2025-01-18T00:00:00"/>
    <n v="2"/>
    <s v="10:10:26"/>
    <n v="100.70799999999997"/>
    <n v="440.54"/>
    <n v="503.54"/>
    <n v="402.83200000000005"/>
  </r>
  <r>
    <x v="55"/>
    <s v="William Mann"/>
    <s v="William"/>
    <s v="Mann"/>
    <n v="21"/>
    <x v="0"/>
    <x v="1"/>
    <s v="william.mann@yahoo.com"/>
    <s v="849 Tran Wells, New Lindsayville, WI 22669"/>
    <s v="OID7759"/>
    <x v="91"/>
    <s v="01:16:21"/>
    <x v="6"/>
    <n v="275.44"/>
    <n v="3"/>
    <x v="1"/>
    <s v="15%"/>
    <n v="7"/>
    <x v="0"/>
    <n v="47"/>
    <d v="2024-01-31T00:00:00"/>
    <n v="1"/>
    <s v="17:07:06"/>
    <n v="130.99800000000005"/>
    <n v="826.31999999999994"/>
    <n v="873.31999999999994"/>
    <n v="742.32199999999989"/>
  </r>
  <r>
    <x v="60"/>
    <s v="Christy Chang"/>
    <s v="Christy"/>
    <s v="Chang"/>
    <n v="38"/>
    <x v="1"/>
    <x v="7"/>
    <s v="christy.chang@outlook.com"/>
    <s v="4647 Hannah Centers, Rhodesburgh, NH 89363"/>
    <s v="OID4481"/>
    <x v="92"/>
    <s v="02:43:38"/>
    <x v="38"/>
    <n v="477.52"/>
    <n v="3"/>
    <x v="0"/>
    <s v="8%"/>
    <n v="7"/>
    <x v="0"/>
    <n v="66"/>
    <d v="2023-10-09T00:00:00"/>
    <n v="5"/>
    <s v="02:45:47"/>
    <n v="119.88480000000004"/>
    <n v="1432.56"/>
    <n v="1498.56"/>
    <n v="1378.6751999999999"/>
  </r>
  <r>
    <x v="61"/>
    <s v="Troy Gomez"/>
    <s v="Troy"/>
    <s v="Gomez"/>
    <n v="68"/>
    <x v="0"/>
    <x v="7"/>
    <s v="troy.gomez@outlook.com"/>
    <s v="7510 Jose Knolls, Candicechester, LA 62815"/>
    <s v="OID6749"/>
    <x v="93"/>
    <s v="13:25:18"/>
    <x v="43"/>
    <n v="424.82"/>
    <n v="1"/>
    <x v="2"/>
    <s v="0 delivery charge"/>
    <n v="6"/>
    <x v="0"/>
    <n v="44"/>
    <d v="2024-12-12T00:00:00"/>
    <n v="2"/>
    <s v="14:51:25"/>
    <n v="44"/>
    <n v="424.82"/>
    <n v="468.82"/>
    <n v="424.82"/>
  </r>
  <r>
    <x v="62"/>
    <s v="Kim Blevins"/>
    <s v="Kim"/>
    <s v="Blevins"/>
    <n v="65"/>
    <x v="1"/>
    <x v="3"/>
    <s v="kim.blevins@outlook.com"/>
    <s v="089 Rice Shoal Suite 491, Juarezmouth, MI 88715"/>
    <s v="OID8681"/>
    <x v="94"/>
    <s v="18:32:14"/>
    <x v="30"/>
    <n v="369.03"/>
    <n v="4"/>
    <x v="0"/>
    <s v="8%"/>
    <n v="3"/>
    <x v="1"/>
    <n v="56"/>
    <d v="2023-08-31T00:00:00"/>
    <n v="4"/>
    <s v="06:09:27"/>
    <n v="122.56960000000004"/>
    <n v="1476.12"/>
    <n v="1532.12"/>
    <n v="1409.5503999999999"/>
  </r>
  <r>
    <x v="42"/>
    <s v="Brian Kennedy"/>
    <s v="Brian"/>
    <s v="Kennedy"/>
    <n v="69"/>
    <x v="0"/>
    <x v="0"/>
    <s v="brian.kennedy@outlook.com"/>
    <s v="25126 Nancy Fort Suite 568, Alexandrachester, AZ 44823"/>
    <s v="OID9693"/>
    <x v="95"/>
    <s v="21:12:50"/>
    <x v="34"/>
    <n v="136.30000000000001"/>
    <n v="2"/>
    <x v="4"/>
    <s v="10%"/>
    <n v="1"/>
    <x v="2"/>
    <n v="54"/>
    <d v="2024-07-12T00:00:00"/>
    <n v="1"/>
    <s v="09:07:45"/>
    <n v="32.659999999999968"/>
    <n v="272.60000000000002"/>
    <n v="326.60000000000002"/>
    <n v="293.94000000000005"/>
  </r>
  <r>
    <x v="38"/>
    <s v="John Ramirez"/>
    <s v="John"/>
    <s v="Ramirez"/>
    <n v="28"/>
    <x v="2"/>
    <x v="4"/>
    <s v="john.ramirez@outlook.com"/>
    <s v="02797 Martin Landing, South Michelle, VT 98781"/>
    <s v="OID3607"/>
    <x v="96"/>
    <s v="17:19:09"/>
    <x v="11"/>
    <n v="220.27"/>
    <n v="4"/>
    <x v="3"/>
    <s v="20%"/>
    <n v="4"/>
    <x v="2"/>
    <n v="65"/>
    <d v="2023-07-10T00:00:00"/>
    <n v="4"/>
    <s v="09:03:23"/>
    <n v="189.21600000000001"/>
    <n v="881.08"/>
    <n v="946.08"/>
    <n v="756.86400000000003"/>
  </r>
  <r>
    <x v="55"/>
    <s v="William Mann"/>
    <s v="William"/>
    <s v="Mann"/>
    <n v="21"/>
    <x v="0"/>
    <x v="1"/>
    <s v="william.mann@yahoo.com"/>
    <s v="849 Tran Wells, New Lindsayville, WI 22669"/>
    <s v="OID9743"/>
    <x v="97"/>
    <s v="15:04:45"/>
    <x v="37"/>
    <n v="133.62"/>
    <n v="5"/>
    <x v="1"/>
    <s v="15%"/>
    <n v="6"/>
    <x v="0"/>
    <n v="64"/>
    <d v="2024-08-28T00:00:00"/>
    <n v="2"/>
    <s v="19:43:27"/>
    <n v="109.81500000000005"/>
    <n v="668.1"/>
    <n v="732.1"/>
    <n v="622.28499999999997"/>
  </r>
  <r>
    <x v="63"/>
    <s v="Gregory Lee"/>
    <s v="Gregory"/>
    <s v="Lee"/>
    <n v="26"/>
    <x v="2"/>
    <x v="2"/>
    <s v="gregory.lee@rediffmail.com"/>
    <s v="619 Parker Turnpike Apt. 025, West Brucehaven, ID 48437"/>
    <s v="OID7866"/>
    <x v="98"/>
    <s v="18:15:56"/>
    <x v="0"/>
    <n v="308.88"/>
    <n v="2"/>
    <x v="3"/>
    <s v="20%"/>
    <n v="4"/>
    <x v="2"/>
    <n v="61"/>
    <d v="2024-05-24T00:00:00"/>
    <n v="4"/>
    <s v="04:57:03"/>
    <n v="135.75199999999995"/>
    <n v="617.76"/>
    <n v="678.76"/>
    <n v="543.00800000000004"/>
  </r>
  <r>
    <x v="21"/>
    <s v="Angela Evans"/>
    <s v="Angela"/>
    <s v="Evans"/>
    <n v="52"/>
    <x v="2"/>
    <x v="1"/>
    <s v="angela.evans@outlook.com"/>
    <s v="16031 David Mountain Suite 431, Susanborough, PA 01910"/>
    <s v="OID1137"/>
    <x v="99"/>
    <s v="00:17:47"/>
    <x v="15"/>
    <n v="461.07"/>
    <n v="1"/>
    <x v="3"/>
    <s v="20%"/>
    <n v="7"/>
    <x v="2"/>
    <n v="57"/>
    <d v="2024-05-22T00:00:00"/>
    <n v="7"/>
    <s v="21:42:51"/>
    <n v="103.61399999999998"/>
    <n v="461.07"/>
    <n v="518.06999999999994"/>
    <n v="414.45599999999996"/>
  </r>
  <r>
    <x v="64"/>
    <s v="Bruce Allen"/>
    <s v="Bruce"/>
    <s v="Allen"/>
    <n v="32"/>
    <x v="1"/>
    <x v="0"/>
    <s v="bruce.allen@rediffmail.com"/>
    <s v="2417 Brown Ford, West Timothyside, RI 45629"/>
    <s v="OID4685"/>
    <x v="100"/>
    <s v="01:46:15"/>
    <x v="27"/>
    <n v="496.59"/>
    <n v="5"/>
    <x v="3"/>
    <s v="20%"/>
    <n v="1"/>
    <x v="1"/>
    <n v="40"/>
    <d v="2023-04-09T00:00:00"/>
    <n v="4"/>
    <s v="22:28:20"/>
    <n v="504.58999999999992"/>
    <n v="2482.9499999999998"/>
    <n v="2522.9499999999998"/>
    <n v="2018.36"/>
  </r>
  <r>
    <x v="65"/>
    <s v="Lisa Miller"/>
    <s v="Lisa"/>
    <s v="Miller"/>
    <n v="70"/>
    <x v="1"/>
    <x v="3"/>
    <s v="lisa.miller@gmail.com"/>
    <s v="89748 Campbell Drive, South Tannerland, WI 13143"/>
    <s v="OID9584"/>
    <x v="101"/>
    <s v="09:44:25"/>
    <x v="13"/>
    <n v="104.18"/>
    <n v="2"/>
    <x v="0"/>
    <s v="8%"/>
    <n v="2"/>
    <x v="1"/>
    <n v="40"/>
    <d v="2023-03-25T00:00:00"/>
    <n v="5"/>
    <s v="09:50:58"/>
    <n v="19.868799999999993"/>
    <n v="208.36"/>
    <n v="248.36"/>
    <n v="228.49120000000002"/>
  </r>
  <r>
    <x v="66"/>
    <s v="Melissa Levy"/>
    <s v="Melissa"/>
    <s v="Levy"/>
    <n v="30"/>
    <x v="0"/>
    <x v="5"/>
    <s v="melissa.levy@rediffmail.com"/>
    <s v="3303 Kennedy Springs Suite 830, East Amybury, MI 95595"/>
    <s v="OID1686"/>
    <x v="102"/>
    <s v="20:32:03"/>
    <x v="44"/>
    <n v="110.95"/>
    <n v="2"/>
    <x v="0"/>
    <s v="8%"/>
    <n v="4"/>
    <x v="0"/>
    <n v="68"/>
    <d v="2024-04-26T00:00:00"/>
    <n v="2"/>
    <s v="16:26:05"/>
    <n v="23.192000000000007"/>
    <n v="221.9"/>
    <n v="289.89999999999998"/>
    <n v="266.70799999999997"/>
  </r>
  <r>
    <x v="59"/>
    <s v="Beth Mason"/>
    <s v="Beth"/>
    <s v="Mason"/>
    <n v="45"/>
    <x v="2"/>
    <x v="3"/>
    <s v="beth.mason@outlook.com"/>
    <s v="58998 Sherry Haven, East Richard, FL 90775"/>
    <s v="OID5272"/>
    <x v="18"/>
    <s v="12:57:10"/>
    <x v="27"/>
    <n v="496.59"/>
    <n v="2"/>
    <x v="2"/>
    <s v="0 delivery charge"/>
    <n v="5"/>
    <x v="0"/>
    <n v="40"/>
    <d v="2025-01-10T00:00:00"/>
    <n v="2"/>
    <s v="19:04:22"/>
    <n v="40"/>
    <n v="993.18"/>
    <n v="1033.1799999999998"/>
    <n v="993.17999999999984"/>
  </r>
  <r>
    <x v="47"/>
    <s v="Mitchell Parker"/>
    <s v="Mitchell"/>
    <s v="Parker"/>
    <n v="39"/>
    <x v="2"/>
    <x v="1"/>
    <s v="mitchell.parker@yahoo.com"/>
    <s v="PSC 3316, Box 9303, APO AE 29513"/>
    <s v="OID7359"/>
    <x v="103"/>
    <s v="14:16:13"/>
    <x v="8"/>
    <n v="257.06"/>
    <n v="4"/>
    <x v="3"/>
    <s v="20%"/>
    <n v="3"/>
    <x v="1"/>
    <n v="50"/>
    <d v="2024-04-19T00:00:00"/>
    <n v="4"/>
    <s v="11:54:49"/>
    <n v="215.64799999999991"/>
    <n v="1028.24"/>
    <n v="1078.24"/>
    <n v="862.5920000000001"/>
  </r>
  <r>
    <x v="57"/>
    <s v="Joseph Gaines"/>
    <s v="Joseph"/>
    <s v="Gaines"/>
    <n v="47"/>
    <x v="2"/>
    <x v="2"/>
    <s v="joseph.gaines@outlook.com"/>
    <s v="37549 Pope Isle Apt. 202, Tylerborough, MO 60042"/>
    <s v="OID3570"/>
    <x v="103"/>
    <s v="05:44:11"/>
    <x v="45"/>
    <n v="381.73"/>
    <n v="4"/>
    <x v="4"/>
    <s v="10%"/>
    <n v="1"/>
    <x v="1"/>
    <n v="66"/>
    <d v="2024-04-18T00:00:00"/>
    <n v="3"/>
    <s v="18:54:47"/>
    <n v="159.29199999999992"/>
    <n v="1526.92"/>
    <n v="1592.92"/>
    <n v="1433.6280000000002"/>
  </r>
  <r>
    <x v="67"/>
    <s v="Barbara Fuller"/>
    <s v="Barbara"/>
    <s v="Fuller"/>
    <n v="43"/>
    <x v="2"/>
    <x v="5"/>
    <s v="barbara.fuller@rediffmail.com"/>
    <s v="134 Mcintosh Unions Suite 574, Lake Laura, DE 96577"/>
    <s v="OID2519"/>
    <x v="104"/>
    <s v="19:28:31"/>
    <x v="28"/>
    <n v="431.44"/>
    <n v="5"/>
    <x v="1"/>
    <s v="15%"/>
    <n v="4"/>
    <x v="2"/>
    <n v="42"/>
    <d v="2023-12-20T00:00:00"/>
    <n v="4"/>
    <s v="16:45:09"/>
    <n v="329.88000000000011"/>
    <n v="2157.1999999999998"/>
    <n v="2199.1999999999998"/>
    <n v="1869.3199999999997"/>
  </r>
  <r>
    <x v="52"/>
    <s v="Brandon Cruz"/>
    <s v="Brandon"/>
    <s v="Cruz"/>
    <n v="32"/>
    <x v="2"/>
    <x v="3"/>
    <s v="brandon.cruz@gmail.com"/>
    <s v="9296 Villanueva Branch, East Kevin, CO 93912"/>
    <s v="OID1134"/>
    <x v="105"/>
    <s v="06:22:42"/>
    <x v="9"/>
    <n v="175.93"/>
    <n v="5"/>
    <x v="2"/>
    <s v="0 delivery charge"/>
    <n v="5"/>
    <x v="1"/>
    <n v="63"/>
    <d v="2023-07-31T00:00:00"/>
    <n v="7"/>
    <s v="11:58:32"/>
    <n v="63"/>
    <n v="879.65000000000009"/>
    <n v="942.65000000000009"/>
    <n v="879.65000000000009"/>
  </r>
  <r>
    <x v="8"/>
    <s v="Bobby Forbes"/>
    <s v="Bobby"/>
    <s v="Forbes"/>
    <n v="20"/>
    <x v="0"/>
    <x v="3"/>
    <s v="bobby.forbes@gmail.com"/>
    <s v="3079 John Parkway Suite 961, Port Kristaview, MT 91019"/>
    <s v="OID8270"/>
    <x v="106"/>
    <s v="03:53:04"/>
    <x v="2"/>
    <n v="202.54"/>
    <n v="5"/>
    <x v="0"/>
    <s v="8%"/>
    <n v="2"/>
    <x v="1"/>
    <n v="68"/>
    <d v="2023-08-21T00:00:00"/>
    <n v="3"/>
    <s v="15:27:26"/>
    <n v="86.455999999999904"/>
    <n v="1012.6999999999999"/>
    <n v="1080.6999999999998"/>
    <n v="994.24399999999991"/>
  </r>
  <r>
    <x v="56"/>
    <s v="Kelli Smith"/>
    <s v="Kelli"/>
    <s v="Smith"/>
    <n v="18"/>
    <x v="1"/>
    <x v="1"/>
    <s v="kelli.smith@rediffmail.com"/>
    <s v="788 Kristina Lane, Montoyaside, VA 90756"/>
    <s v="OID9515"/>
    <x v="107"/>
    <s v="13:06:48"/>
    <x v="8"/>
    <n v="257.06"/>
    <n v="4"/>
    <x v="4"/>
    <s v="10%"/>
    <n v="1"/>
    <x v="1"/>
    <n v="65"/>
    <d v="2023-04-09T00:00:00"/>
    <n v="2"/>
    <s v="01:22:23"/>
    <n v="109.32399999999996"/>
    <n v="1028.24"/>
    <n v="1093.24"/>
    <n v="983.91600000000005"/>
  </r>
  <r>
    <x v="68"/>
    <s v="Kristina Haynes"/>
    <s v="Kristina"/>
    <s v="Haynes"/>
    <n v="27"/>
    <x v="0"/>
    <x v="1"/>
    <s v="kristina.haynes@yahoo.com"/>
    <s v="18295 Thomas River, Kochville, NH 80868"/>
    <s v="OID6608"/>
    <x v="89"/>
    <s v="10:28:03"/>
    <x v="46"/>
    <n v="20"/>
    <n v="1"/>
    <x v="4"/>
    <s v="10%"/>
    <n v="4"/>
    <x v="0"/>
    <n v="68"/>
    <d v="2023-09-16T00:00:00"/>
    <n v="2"/>
    <s v="23:08:52"/>
    <n v="8.7999999999999972"/>
    <n v="20"/>
    <n v="88"/>
    <n v="79.2"/>
  </r>
  <r>
    <x v="69"/>
    <s v="Lindsey Byrd"/>
    <s v="Lindsey"/>
    <s v="Byrd"/>
    <n v="32"/>
    <x v="0"/>
    <x v="5"/>
    <s v="lindsey.byrd@rediffmail.com"/>
    <s v="USCGC Harper, FPO AA 38349"/>
    <s v="OID3035"/>
    <x v="108"/>
    <s v="22:11:06"/>
    <x v="14"/>
    <n v="20.7"/>
    <n v="2"/>
    <x v="2"/>
    <s v="0 delivery charge"/>
    <n v="7"/>
    <x v="0"/>
    <n v="43"/>
    <d v="2023-06-30T00:00:00"/>
    <n v="1"/>
    <s v="11:35:56"/>
    <n v="43"/>
    <n v="41.4"/>
    <n v="84.4"/>
    <n v="41.400000000000006"/>
  </r>
  <r>
    <x v="12"/>
    <s v="Joshua Campbell"/>
    <s v="Joshua"/>
    <s v="Campbell"/>
    <n v="24"/>
    <x v="0"/>
    <x v="5"/>
    <s v="joshua.campbell@gmail.com"/>
    <s v="70426 Lindsey Overpass Apt. 030, Jessicafurt, AR 46269"/>
    <s v="OID4548"/>
    <x v="109"/>
    <s v="14:00:52"/>
    <x v="45"/>
    <n v="381.73"/>
    <n v="2"/>
    <x v="2"/>
    <s v="0 delivery charge"/>
    <n v="6"/>
    <x v="0"/>
    <n v="41"/>
    <d v="2023-03-23T00:00:00"/>
    <n v="5"/>
    <s v="04:39:06"/>
    <n v="41"/>
    <n v="763.46"/>
    <n v="804.46"/>
    <n v="763.46"/>
  </r>
  <r>
    <x v="26"/>
    <s v="Heather Schneider"/>
    <s v="Heather"/>
    <s v="Schneider"/>
    <n v="48"/>
    <x v="1"/>
    <x v="3"/>
    <s v="heather.schneider@outlook.com"/>
    <s v="57940 Susan Creek Apt. 541, Port Aliciamouth, OR 90221"/>
    <s v="OID5978"/>
    <x v="110"/>
    <s v="07:11:09"/>
    <x v="24"/>
    <n v="481.48"/>
    <n v="1"/>
    <x v="0"/>
    <s v="8%"/>
    <n v="1"/>
    <x v="1"/>
    <n v="69"/>
    <d v="2024-07-30T00:00:00"/>
    <n v="4"/>
    <s v="14:05:53"/>
    <n v="44.038399999999967"/>
    <n v="481.48"/>
    <n v="550.48"/>
    <n v="506.44160000000005"/>
  </r>
  <r>
    <x v="51"/>
    <s v="Jason Nguyen"/>
    <s v="Jason"/>
    <s v="Nguyen"/>
    <n v="51"/>
    <x v="2"/>
    <x v="4"/>
    <s v="jason.nguyen@yahoo.com"/>
    <s v="7112 Travis Glens Suite 790, Crystalland, WV 38373"/>
    <s v="OID6297"/>
    <x v="111"/>
    <s v="12:09:51"/>
    <x v="25"/>
    <n v="77.84"/>
    <n v="2"/>
    <x v="0"/>
    <s v="8%"/>
    <n v="6"/>
    <x v="2"/>
    <n v="36"/>
    <d v="2024-02-19T00:00:00"/>
    <n v="6"/>
    <s v="05:11:05"/>
    <n v="15.334399999999988"/>
    <n v="155.68"/>
    <n v="191.68"/>
    <n v="176.34560000000002"/>
  </r>
  <r>
    <x v="36"/>
    <s v="Jason Lopez"/>
    <s v="Jason"/>
    <s v="Lopez"/>
    <n v="40"/>
    <x v="2"/>
    <x v="6"/>
    <s v="jason.lopez@outlook.com"/>
    <s v="934 Levine View, Brentport, NE 38210"/>
    <s v="OID5108"/>
    <x v="112"/>
    <s v="10:51:20"/>
    <x v="34"/>
    <n v="136.30000000000001"/>
    <n v="1"/>
    <x v="3"/>
    <s v="20%"/>
    <n v="4"/>
    <x v="0"/>
    <n v="41"/>
    <d v="2023-09-20T00:00:00"/>
    <n v="3"/>
    <s v="23:53:27"/>
    <n v="35.460000000000008"/>
    <n v="136.30000000000001"/>
    <n v="177.3"/>
    <n v="141.84"/>
  </r>
  <r>
    <x v="38"/>
    <s v="John Ramirez"/>
    <s v="John"/>
    <s v="Ramirez"/>
    <n v="28"/>
    <x v="2"/>
    <x v="4"/>
    <s v="john.ramirez@outlook.com"/>
    <s v="02797 Martin Landing, South Michelle, VT 98781"/>
    <s v="OID4599"/>
    <x v="55"/>
    <s v="23:40:15"/>
    <x v="43"/>
    <n v="424.82"/>
    <n v="3"/>
    <x v="0"/>
    <s v="8%"/>
    <n v="2"/>
    <x v="2"/>
    <n v="67"/>
    <d v="2023-10-16T00:00:00"/>
    <n v="2"/>
    <s v="20:14:00"/>
    <n v="107.31680000000006"/>
    <n v="1274.46"/>
    <n v="1341.46"/>
    <n v="1234.1432"/>
  </r>
  <r>
    <x v="16"/>
    <s v="Traci Jones"/>
    <s v="Traci"/>
    <s v="Jones"/>
    <n v="34"/>
    <x v="0"/>
    <x v="3"/>
    <s v="traci.jones@yahoo.com"/>
    <s v="4016 Ryan Passage, Collinsside, PA 88777"/>
    <s v="OID1418"/>
    <x v="113"/>
    <s v="01:24:01"/>
    <x v="34"/>
    <n v="136.30000000000001"/>
    <n v="2"/>
    <x v="4"/>
    <s v="10%"/>
    <n v="3"/>
    <x v="1"/>
    <n v="68"/>
    <d v="2025-01-17T00:00:00"/>
    <n v="7"/>
    <s v="16:29:02"/>
    <n v="34.06"/>
    <n v="272.60000000000002"/>
    <n v="340.6"/>
    <n v="306.54000000000002"/>
  </r>
  <r>
    <x v="11"/>
    <s v="Amy Reid"/>
    <s v="Amy"/>
    <s v="Reid"/>
    <n v="44"/>
    <x v="1"/>
    <x v="3"/>
    <s v="amy.reid@rediffmail.com"/>
    <s v="6262 Simpson Village, North Danielle, RI 76074"/>
    <s v="OID1411"/>
    <x v="93"/>
    <s v="11:34:01"/>
    <x v="28"/>
    <n v="431.44"/>
    <n v="4"/>
    <x v="1"/>
    <s v="15%"/>
    <n v="2"/>
    <x v="0"/>
    <n v="66"/>
    <d v="2024-12-11T00:00:00"/>
    <n v="1"/>
    <s v="11:25:35"/>
    <n v="268.76400000000012"/>
    <n v="1725.76"/>
    <n v="1791.76"/>
    <n v="1522.9959999999999"/>
  </r>
  <r>
    <x v="63"/>
    <s v="Gregory Lee"/>
    <s v="Gregory"/>
    <s v="Lee"/>
    <n v="26"/>
    <x v="2"/>
    <x v="2"/>
    <s v="gregory.lee@rediffmail.com"/>
    <s v="619 Parker Turnpike Apt. 025, West Brucehaven, ID 48437"/>
    <s v="OID8692"/>
    <x v="114"/>
    <s v="02:04:13"/>
    <x v="16"/>
    <n v="132.97"/>
    <n v="5"/>
    <x v="3"/>
    <s v="20%"/>
    <n v="3"/>
    <x v="0"/>
    <n v="45"/>
    <d v="2024-06-09T00:00:00"/>
    <n v="2"/>
    <s v="19:20:55"/>
    <n v="141.97000000000003"/>
    <n v="664.85"/>
    <n v="709.85"/>
    <n v="567.88"/>
  </r>
  <r>
    <x v="51"/>
    <s v="Jason Nguyen"/>
    <s v="Jason"/>
    <s v="Nguyen"/>
    <n v="51"/>
    <x v="2"/>
    <x v="4"/>
    <s v="jason.nguyen@yahoo.com"/>
    <s v="7112 Travis Glens Suite 790, Crystalland, WV 38373"/>
    <s v="OID4402"/>
    <x v="115"/>
    <s v="22:18:21"/>
    <x v="12"/>
    <n v="272.51"/>
    <n v="4"/>
    <x v="2"/>
    <s v="0 delivery charge"/>
    <n v="2"/>
    <x v="0"/>
    <n v="42"/>
    <d v="2024-11-03T00:00:00"/>
    <n v="1"/>
    <s v="12:35:14"/>
    <n v="42"/>
    <n v="1090.04"/>
    <n v="1132.04"/>
    <n v="1090.04"/>
  </r>
  <r>
    <x v="1"/>
    <s v="Anthony Thomas"/>
    <s v="Anthony"/>
    <s v="Thomas"/>
    <n v="53"/>
    <x v="1"/>
    <x v="1"/>
    <s v="anthony.thomas@rediffmail.com"/>
    <s v="931 Christopher Ways Suite 833, North Michelle, IN 53484"/>
    <s v="OID1309"/>
    <x v="116"/>
    <s v="08:18:11"/>
    <x v="2"/>
    <n v="202.54"/>
    <n v="2"/>
    <x v="3"/>
    <s v="20%"/>
    <n v="6"/>
    <x v="0"/>
    <n v="70"/>
    <d v="2024-10-29T00:00:00"/>
    <n v="5"/>
    <s v="13:38:46"/>
    <n v="95.015999999999963"/>
    <n v="405.08"/>
    <n v="475.08"/>
    <n v="380.06400000000002"/>
  </r>
  <r>
    <x v="6"/>
    <s v="Marcus Valenzuela"/>
    <s v="Marcus"/>
    <s v="Valenzuela"/>
    <n v="39"/>
    <x v="0"/>
    <x v="0"/>
    <s v="marcus.valenzuela@yahoo.com"/>
    <s v="694 Graham Prairie Apt. 887, Jimenezfurt, MI 33044"/>
    <s v="OID2746"/>
    <x v="117"/>
    <s v="10:44:36"/>
    <x v="34"/>
    <n v="136.30000000000001"/>
    <n v="2"/>
    <x v="4"/>
    <s v="10%"/>
    <n v="2"/>
    <x v="1"/>
    <n v="51"/>
    <d v="2025-02-06T00:00:00"/>
    <n v="5"/>
    <s v="23:51:56"/>
    <n v="32.360000000000014"/>
    <n v="272.60000000000002"/>
    <n v="323.60000000000002"/>
    <n v="291.24"/>
  </r>
  <r>
    <x v="20"/>
    <s v="John Herrera"/>
    <s v="John"/>
    <s v="Herrera"/>
    <n v="64"/>
    <x v="1"/>
    <x v="1"/>
    <s v="john.herrera@outlook.com"/>
    <s v="61263 Jacob Isle, Amandatown, TN 34321"/>
    <s v="OID9360"/>
    <x v="118"/>
    <s v="17:09:22"/>
    <x v="39"/>
    <n v="403.03"/>
    <n v="5"/>
    <x v="2"/>
    <s v="0 delivery charge"/>
    <n v="7"/>
    <x v="0"/>
    <n v="52"/>
    <d v="2023-06-20T00:00:00"/>
    <n v="3"/>
    <s v="16:24:38"/>
    <n v="52"/>
    <n v="2015.1499999999999"/>
    <n v="2067.1499999999996"/>
    <n v="2015.1499999999996"/>
  </r>
  <r>
    <x v="31"/>
    <s v="Donna Oneill"/>
    <s v="Donna"/>
    <s v="Oneill"/>
    <n v="70"/>
    <x v="0"/>
    <x v="6"/>
    <s v="donna.oneill@yahoo.com"/>
    <s v="464 Carolyn Crest Suite 738, Lake Isaiah, CA 66153"/>
    <s v="OID6453"/>
    <x v="119"/>
    <s v="07:07:24"/>
    <x v="39"/>
    <n v="403.03"/>
    <n v="4"/>
    <x v="4"/>
    <s v="10%"/>
    <n v="6"/>
    <x v="0"/>
    <n v="47"/>
    <d v="2023-12-23T00:00:00"/>
    <n v="2"/>
    <s v="01:21:39"/>
    <n v="165.91200000000003"/>
    <n v="1612.12"/>
    <n v="1659.12"/>
    <n v="1493.2079999999999"/>
  </r>
  <r>
    <x v="70"/>
    <s v="Edward Black"/>
    <s v="Edward"/>
    <s v="Black"/>
    <n v="42"/>
    <x v="0"/>
    <x v="2"/>
    <s v="edward.black@gmail.com"/>
    <s v="5879 Susan Via Apt. 886, Sandovalbury, WV 61449"/>
    <s v="OID9745"/>
    <x v="120"/>
    <s v="07:27:27"/>
    <x v="10"/>
    <n v="190.1"/>
    <n v="5"/>
    <x v="3"/>
    <s v="20%"/>
    <n v="4"/>
    <x v="1"/>
    <n v="37"/>
    <d v="2023-02-27T00:00:00"/>
    <n v="5"/>
    <s v="14:08:36"/>
    <n v="197.5"/>
    <n v="950.5"/>
    <n v="987.5"/>
    <n v="790"/>
  </r>
  <r>
    <x v="71"/>
    <s v="James Brown"/>
    <s v="James"/>
    <s v="Brown"/>
    <n v="60"/>
    <x v="0"/>
    <x v="4"/>
    <s v="james.brown@yahoo.com"/>
    <s v="221 Frey Crossing Suite 192, South Taylorland, HI 72875"/>
    <s v="OID4081"/>
    <x v="121"/>
    <s v="00:30:57"/>
    <x v="34"/>
    <n v="136.30000000000001"/>
    <n v="4"/>
    <x v="2"/>
    <s v="0 delivery charge"/>
    <n v="5"/>
    <x v="2"/>
    <n v="61"/>
    <d v="2025-01-11T00:00:00"/>
    <n v="5"/>
    <s v="15:41:07"/>
    <n v="61"/>
    <n v="545.20000000000005"/>
    <n v="606.20000000000005"/>
    <n v="545.20000000000005"/>
  </r>
  <r>
    <x v="72"/>
    <s v="Leslie Montgomery"/>
    <s v="Leslie"/>
    <s v="Montgomery"/>
    <n v="26"/>
    <x v="1"/>
    <x v="5"/>
    <s v="leslie.montgomery@gmail.com"/>
    <s v="135 Teresa Oval Apt. 825, East Katherineport, WY 13714"/>
    <s v="OID3967"/>
    <x v="122"/>
    <s v="20:10:38"/>
    <x v="42"/>
    <n v="235.63"/>
    <n v="1"/>
    <x v="3"/>
    <s v="20%"/>
    <n v="2"/>
    <x v="1"/>
    <n v="66"/>
    <d v="2023-11-03T00:00:00"/>
    <n v="7"/>
    <s v="03:43:44"/>
    <n v="60.325999999999993"/>
    <n v="235.63"/>
    <n v="301.63"/>
    <n v="241.304"/>
  </r>
  <r>
    <x v="73"/>
    <s v="Susan Thompson"/>
    <s v="Susan"/>
    <s v="Thompson"/>
    <n v="37"/>
    <x v="2"/>
    <x v="7"/>
    <s v="susan.thompson@outlook.com"/>
    <s v="47821 William Station, East Ashleymouth, FL 20562"/>
    <s v="OID9112"/>
    <x v="123"/>
    <s v="14:57:06"/>
    <x v="41"/>
    <n v="433.62"/>
    <n v="4"/>
    <x v="3"/>
    <s v="20%"/>
    <n v="3"/>
    <x v="2"/>
    <n v="36"/>
    <d v="2023-11-22T00:00:00"/>
    <n v="3"/>
    <s v="21:20:28"/>
    <n v="354.096"/>
    <n v="1734.48"/>
    <n v="1770.48"/>
    <n v="1416.384"/>
  </r>
  <r>
    <x v="67"/>
    <s v="Barbara Fuller"/>
    <s v="Barbara"/>
    <s v="Fuller"/>
    <n v="43"/>
    <x v="2"/>
    <x v="5"/>
    <s v="barbara.fuller@rediffmail.com"/>
    <s v="134 Mcintosh Unions Suite 574, Lake Laura, DE 96577"/>
    <s v="OID8628"/>
    <x v="124"/>
    <s v="10:20:44"/>
    <x v="21"/>
    <n v="157.63999999999999"/>
    <n v="5"/>
    <x v="2"/>
    <s v="0 delivery charge"/>
    <n v="7"/>
    <x v="0"/>
    <n v="36"/>
    <d v="2024-02-10T00:00:00"/>
    <n v="1"/>
    <s v="23:29:03"/>
    <n v="36"/>
    <n v="788.19999999999993"/>
    <n v="824.19999999999993"/>
    <n v="788.19999999999993"/>
  </r>
  <r>
    <x v="5"/>
    <s v="David Delacruz"/>
    <s v="David"/>
    <s v="Delacruz"/>
    <n v="26"/>
    <x v="1"/>
    <x v="3"/>
    <s v="david.delacruz@rediffmail.com"/>
    <s v="USNS Ray, FPO AE 20238"/>
    <s v="OID5996"/>
    <x v="125"/>
    <s v="14:09:23"/>
    <x v="22"/>
    <n v="158.53"/>
    <n v="5"/>
    <x v="2"/>
    <s v="0 delivery charge"/>
    <n v="4"/>
    <x v="0"/>
    <n v="66"/>
    <d v="2023-07-04T00:00:00"/>
    <n v="3"/>
    <s v="10:17:52"/>
    <n v="66"/>
    <n v="792.65"/>
    <n v="858.65"/>
    <n v="792.65"/>
  </r>
  <r>
    <x v="15"/>
    <s v="Mallory Mitchell"/>
    <s v="Mallory"/>
    <s v="Mitchell"/>
    <n v="42"/>
    <x v="1"/>
    <x v="6"/>
    <s v="mallory.mitchell@yahoo.com"/>
    <s v="710 Anthony Wall Suite 137, East Davidstad, NV 61494"/>
    <s v="OID5210"/>
    <x v="126"/>
    <s v="10:48:56"/>
    <x v="8"/>
    <n v="257.06"/>
    <n v="3"/>
    <x v="0"/>
    <s v="8%"/>
    <n v="6"/>
    <x v="2"/>
    <n v="65"/>
    <d v="2023-12-29T00:00:00"/>
    <n v="6"/>
    <s v="05:48:39"/>
    <n v="66.894400000000019"/>
    <n v="771.18000000000006"/>
    <n v="836.18000000000006"/>
    <n v="769.28560000000004"/>
  </r>
  <r>
    <x v="69"/>
    <s v="Lindsey Byrd"/>
    <s v="Lindsey"/>
    <s v="Byrd"/>
    <n v="32"/>
    <x v="0"/>
    <x v="5"/>
    <s v="lindsey.byrd@rediffmail.com"/>
    <s v="USCGC Harper, FPO AA 38349"/>
    <s v="OID4415"/>
    <x v="127"/>
    <s v="10:33:35"/>
    <x v="44"/>
    <n v="110.95"/>
    <n v="4"/>
    <x v="1"/>
    <s v="15%"/>
    <n v="1"/>
    <x v="1"/>
    <n v="60"/>
    <d v="2024-09-06T00:00:00"/>
    <n v="4"/>
    <s v="05:24:44"/>
    <n v="75.569999999999993"/>
    <n v="443.8"/>
    <n v="503.8"/>
    <n v="428.23"/>
  </r>
  <r>
    <x v="53"/>
    <s v="Jodi Whitney"/>
    <s v="Jodi"/>
    <s v="Whitney"/>
    <n v="33"/>
    <x v="2"/>
    <x v="6"/>
    <s v="jodi.whitney@yahoo.com"/>
    <s v="72876 Lara Key Suite 383, Gutierrezton, OR 71683"/>
    <s v="OID6716"/>
    <x v="128"/>
    <s v="22:34:39"/>
    <x v="24"/>
    <n v="481.48"/>
    <n v="5"/>
    <x v="0"/>
    <s v="8%"/>
    <n v="6"/>
    <x v="0"/>
    <n v="44"/>
    <d v="2024-11-16T00:00:00"/>
    <n v="3"/>
    <s v="02:59:45"/>
    <n v="196.11200000000008"/>
    <n v="2407.4"/>
    <n v="2451.4"/>
    <n v="2255.288"/>
  </r>
  <r>
    <x v="49"/>
    <s v="Sarah Butler"/>
    <s v="Sarah"/>
    <s v="Butler"/>
    <n v="64"/>
    <x v="0"/>
    <x v="0"/>
    <s v="sarah.butler@rediffmail.com"/>
    <s v="14131 Edwin Shore Apt. 190, Deniseberg, MD 90905"/>
    <s v="OID9804"/>
    <x v="129"/>
    <s v="19:56:54"/>
    <x v="47"/>
    <n v="292.14999999999998"/>
    <n v="4"/>
    <x v="3"/>
    <s v="20%"/>
    <n v="1"/>
    <x v="2"/>
    <n v="58"/>
    <d v="2024-10-12T00:00:00"/>
    <n v="1"/>
    <s v="02:22:56"/>
    <n v="245.31999999999994"/>
    <n v="1168.5999999999999"/>
    <n v="1226.5999999999999"/>
    <n v="981.28"/>
  </r>
  <r>
    <x v="32"/>
    <s v="Robert Castillo"/>
    <s v="Robert"/>
    <s v="Castillo"/>
    <n v="32"/>
    <x v="1"/>
    <x v="6"/>
    <s v="robert.castillo@gmail.com"/>
    <s v="7143 Brandon Skyway Suite 899, Tylerton, IA 21756"/>
    <s v="OID9798"/>
    <x v="130"/>
    <s v="19:28:23"/>
    <x v="46"/>
    <n v="20"/>
    <n v="5"/>
    <x v="1"/>
    <s v="15%"/>
    <n v="7"/>
    <x v="0"/>
    <n v="40"/>
    <d v="2023-10-04T00:00:00"/>
    <n v="4"/>
    <s v="11:32:19"/>
    <n v="21"/>
    <n v="100"/>
    <n v="140"/>
    <n v="119"/>
  </r>
  <r>
    <x v="32"/>
    <s v="Robert Castillo"/>
    <s v="Robert"/>
    <s v="Castillo"/>
    <n v="32"/>
    <x v="1"/>
    <x v="6"/>
    <s v="robert.castillo@gmail.com"/>
    <s v="7143 Brandon Skyway Suite 899, Tylerton, IA 21756"/>
    <s v="OID4965"/>
    <x v="131"/>
    <s v="09:43:17"/>
    <x v="3"/>
    <n v="405"/>
    <n v="2"/>
    <x v="1"/>
    <s v="15%"/>
    <n v="7"/>
    <x v="0"/>
    <n v="55"/>
    <d v="2025-01-23T00:00:00"/>
    <n v="3"/>
    <s v="16:27:25"/>
    <n v="129.75"/>
    <n v="810"/>
    <n v="865"/>
    <n v="735.25"/>
  </r>
  <r>
    <x v="54"/>
    <s v="Ashley Romero"/>
    <s v="Ashley"/>
    <s v="Romero"/>
    <n v="35"/>
    <x v="0"/>
    <x v="0"/>
    <s v="ashley.romero@yahoo.com"/>
    <s v="547 Kerry Expressway, Lake Amanda, AR 20321"/>
    <s v="OID3209"/>
    <x v="132"/>
    <s v="06:49:56"/>
    <x v="7"/>
    <n v="48.45"/>
    <n v="5"/>
    <x v="4"/>
    <s v="10%"/>
    <n v="7"/>
    <x v="2"/>
    <n v="53"/>
    <d v="2024-10-23T00:00:00"/>
    <n v="7"/>
    <s v="22:10:44"/>
    <n v="29.524999999999977"/>
    <n v="242.25"/>
    <n v="295.25"/>
    <n v="265.72500000000002"/>
  </r>
  <r>
    <x v="47"/>
    <s v="Mitchell Parker"/>
    <s v="Mitchell"/>
    <s v="Parker"/>
    <n v="39"/>
    <x v="2"/>
    <x v="1"/>
    <s v="mitchell.parker@yahoo.com"/>
    <s v="PSC 3316, Box 9303, APO AE 29513"/>
    <s v="OID6103"/>
    <x v="128"/>
    <s v="00:43:57"/>
    <x v="2"/>
    <n v="202.54"/>
    <n v="1"/>
    <x v="0"/>
    <s v="8%"/>
    <n v="4"/>
    <x v="0"/>
    <n v="48"/>
    <d v="2024-11-15T00:00:00"/>
    <n v="2"/>
    <s v="04:56:51"/>
    <n v="20.043199999999985"/>
    <n v="202.54"/>
    <n v="250.54"/>
    <n v="230.49680000000001"/>
  </r>
  <r>
    <x v="68"/>
    <s v="Kristina Haynes"/>
    <s v="Kristina"/>
    <s v="Haynes"/>
    <n v="27"/>
    <x v="0"/>
    <x v="1"/>
    <s v="kristina.haynes@yahoo.com"/>
    <s v="18295 Thomas River, Kochville, NH 80868"/>
    <s v="OID4368"/>
    <x v="133"/>
    <s v="15:45:08"/>
    <x v="31"/>
    <n v="286.07"/>
    <n v="5"/>
    <x v="3"/>
    <s v="20%"/>
    <n v="1"/>
    <x v="1"/>
    <n v="52"/>
    <d v="2023-03-01T00:00:00"/>
    <n v="3"/>
    <s v="19:53:01"/>
    <n v="296.47000000000003"/>
    <n v="1430.35"/>
    <n v="1482.35"/>
    <n v="1185.8799999999999"/>
  </r>
  <r>
    <x v="44"/>
    <s v="Lori Cook"/>
    <s v="Lori"/>
    <s v="Cook"/>
    <n v="18"/>
    <x v="1"/>
    <x v="1"/>
    <s v="lori.cook@rediffmail.com"/>
    <s v="86837 Bell Meadows, North Jasonshire, UT 51354"/>
    <s v="OID1692"/>
    <x v="1"/>
    <s v="03:06:30"/>
    <x v="2"/>
    <n v="202.54"/>
    <n v="4"/>
    <x v="4"/>
    <s v="10%"/>
    <n v="1"/>
    <x v="1"/>
    <n v="36"/>
    <d v="2024-03-29T00:00:00"/>
    <n v="2"/>
    <s v="06:57:51"/>
    <n v="84.615999999999985"/>
    <n v="810.16"/>
    <n v="846.16"/>
    <n v="761.54399999999998"/>
  </r>
  <r>
    <x v="25"/>
    <s v="Teresa Harvey"/>
    <s v="Teresa"/>
    <s v="Harvey"/>
    <n v="64"/>
    <x v="2"/>
    <x v="0"/>
    <s v="teresa.harvey@gmail.com"/>
    <s v="02669 Kirk Squares, Davisville, VA 51272"/>
    <s v="OID9808"/>
    <x v="134"/>
    <s v="13:02:42"/>
    <x v="29"/>
    <n v="44.5"/>
    <n v="3"/>
    <x v="0"/>
    <s v="8%"/>
    <n v="6"/>
    <x v="0"/>
    <n v="46"/>
    <d v="2023-03-06T00:00:00"/>
    <n v="2"/>
    <s v="06:40:28"/>
    <n v="14.359999999999985"/>
    <n v="133.5"/>
    <n v="179.5"/>
    <n v="165.14000000000001"/>
  </r>
  <r>
    <x v="74"/>
    <s v="Amy Griffin"/>
    <s v="Amy"/>
    <s v="Griffin"/>
    <n v="29"/>
    <x v="0"/>
    <x v="1"/>
    <s v="amy.griffin@rediffmail.com"/>
    <s v="07350 Aaron Meadow Suite 138, Kiaraberg, AL 79545"/>
    <s v="OID3568"/>
    <x v="135"/>
    <s v="10:25:49"/>
    <x v="24"/>
    <n v="481.48"/>
    <n v="4"/>
    <x v="2"/>
    <s v="0 delivery charge"/>
    <n v="3"/>
    <x v="1"/>
    <n v="54"/>
    <d v="2023-11-26T00:00:00"/>
    <n v="5"/>
    <s v="08:21:37"/>
    <n v="54"/>
    <n v="1925.92"/>
    <n v="1979.92"/>
    <n v="1925.92"/>
  </r>
  <r>
    <x v="53"/>
    <s v="Jodi Whitney"/>
    <s v="Jodi"/>
    <s v="Whitney"/>
    <n v="33"/>
    <x v="2"/>
    <x v="6"/>
    <s v="jodi.whitney@yahoo.com"/>
    <s v="72876 Lara Key Suite 383, Gutierrezton, OR 71683"/>
    <s v="OID3469"/>
    <x v="136"/>
    <s v="04:33:43"/>
    <x v="25"/>
    <n v="77.84"/>
    <n v="5"/>
    <x v="4"/>
    <s v="10%"/>
    <n v="1"/>
    <x v="1"/>
    <n v="41"/>
    <d v="2023-10-07T00:00:00"/>
    <n v="6"/>
    <s v="01:47:49"/>
    <n v="43.019999999999982"/>
    <n v="389.20000000000005"/>
    <n v="430.20000000000005"/>
    <n v="387.18000000000006"/>
  </r>
  <r>
    <x v="45"/>
    <s v="Debra Hayes"/>
    <s v="Debra"/>
    <s v="Hayes"/>
    <n v="33"/>
    <x v="0"/>
    <x v="6"/>
    <s v="debra.hayes@yahoo.com"/>
    <s v="4601 Miller Lock, Williamsbury, IA 10943"/>
    <s v="OID6217"/>
    <x v="137"/>
    <s v="15:45:02"/>
    <x v="27"/>
    <n v="496.59"/>
    <n v="2"/>
    <x v="4"/>
    <s v="10%"/>
    <n v="5"/>
    <x v="0"/>
    <n v="40"/>
    <d v="2024-02-09T00:00:00"/>
    <n v="1"/>
    <s v="19:16:06"/>
    <n v="103.31799999999998"/>
    <n v="993.18"/>
    <n v="1033.1799999999998"/>
    <n v="929.86199999999985"/>
  </r>
  <r>
    <x v="25"/>
    <s v="Teresa Harvey"/>
    <s v="Teresa"/>
    <s v="Harvey"/>
    <n v="64"/>
    <x v="2"/>
    <x v="0"/>
    <s v="teresa.harvey@gmail.com"/>
    <s v="02669 Kirk Squares, Davisville, VA 51272"/>
    <s v="OID9257"/>
    <x v="138"/>
    <s v="18:37:45"/>
    <x v="11"/>
    <n v="220.27"/>
    <n v="3"/>
    <x v="0"/>
    <s v="8%"/>
    <n v="6"/>
    <x v="0"/>
    <n v="48"/>
    <d v="2023-07-25T00:00:00"/>
    <n v="3"/>
    <s v="02:32:24"/>
    <n v="56.704799999999977"/>
    <n v="660.81000000000006"/>
    <n v="708.81000000000006"/>
    <n v="652.10520000000008"/>
  </r>
  <r>
    <x v="24"/>
    <s v="Lauren Long"/>
    <s v="Lauren"/>
    <s v="Long"/>
    <n v="44"/>
    <x v="0"/>
    <x v="7"/>
    <s v="lauren.long@gmail.com"/>
    <s v="258 Michael Brooks Suite 363, Arnoldview, PA 49438"/>
    <s v="OID7258"/>
    <x v="139"/>
    <s v="20:25:23"/>
    <x v="23"/>
    <n v="129.75"/>
    <n v="1"/>
    <x v="2"/>
    <s v="0 delivery charge"/>
    <n v="7"/>
    <x v="2"/>
    <n v="44"/>
    <d v="2024-10-26T00:00:00"/>
    <n v="7"/>
    <s v="11:54:10"/>
    <n v="44"/>
    <n v="129.75"/>
    <n v="173.75"/>
    <n v="129.75"/>
  </r>
  <r>
    <x v="67"/>
    <s v="Barbara Fuller"/>
    <s v="Barbara"/>
    <s v="Fuller"/>
    <n v="43"/>
    <x v="2"/>
    <x v="5"/>
    <s v="barbara.fuller@rediffmail.com"/>
    <s v="134 Mcintosh Unions Suite 574, Lake Laura, DE 96577"/>
    <s v="OID8380"/>
    <x v="140"/>
    <s v="10:35:10"/>
    <x v="34"/>
    <n v="136.30000000000001"/>
    <n v="1"/>
    <x v="1"/>
    <s v="15%"/>
    <n v="1"/>
    <x v="1"/>
    <n v="64"/>
    <d v="2024-01-05T00:00:00"/>
    <n v="5"/>
    <s v="00:12:03"/>
    <n v="30.045000000000016"/>
    <n v="136.30000000000001"/>
    <n v="200.3"/>
    <n v="170.255"/>
  </r>
  <r>
    <x v="40"/>
    <s v="Mary Knight"/>
    <s v="Mary"/>
    <s v="Knight"/>
    <n v="28"/>
    <x v="2"/>
    <x v="2"/>
    <s v="mary.knight@yahoo.com"/>
    <s v="907 Kimberly Hill, Murrayfort, NH 88384"/>
    <s v="OID9224"/>
    <x v="141"/>
    <s v="21:35:45"/>
    <x v="31"/>
    <n v="286.07"/>
    <n v="2"/>
    <x v="0"/>
    <s v="8%"/>
    <n v="3"/>
    <x v="2"/>
    <n v="54"/>
    <d v="2024-07-12T00:00:00"/>
    <n v="3"/>
    <s v="09:34:31"/>
    <n v="50.091199999999958"/>
    <n v="572.14"/>
    <n v="626.14"/>
    <n v="576.04880000000003"/>
  </r>
  <r>
    <x v="49"/>
    <s v="Sarah Butler"/>
    <s v="Sarah"/>
    <s v="Butler"/>
    <n v="64"/>
    <x v="0"/>
    <x v="0"/>
    <s v="sarah.butler@rediffmail.com"/>
    <s v="14131 Edwin Shore Apt. 190, Deniseberg, MD 90905"/>
    <s v="OID4506"/>
    <x v="142"/>
    <s v="16:54:11"/>
    <x v="5"/>
    <n v="363.64"/>
    <n v="2"/>
    <x v="2"/>
    <s v="0 delivery charge"/>
    <n v="4"/>
    <x v="0"/>
    <n v="40"/>
    <d v="2023-06-14T00:00:00"/>
    <n v="2"/>
    <s v="18:09:14"/>
    <n v="40"/>
    <n v="727.28"/>
    <n v="767.28"/>
    <n v="727.28"/>
  </r>
  <r>
    <x v="40"/>
    <s v="Mary Knight"/>
    <s v="Mary"/>
    <s v="Knight"/>
    <n v="28"/>
    <x v="2"/>
    <x v="2"/>
    <s v="mary.knight@yahoo.com"/>
    <s v="907 Kimberly Hill, Murrayfort, NH 88384"/>
    <s v="OID7689"/>
    <x v="143"/>
    <s v="10:04:46"/>
    <x v="40"/>
    <n v="445.81"/>
    <n v="5"/>
    <x v="0"/>
    <s v="8%"/>
    <n v="6"/>
    <x v="0"/>
    <n v="70"/>
    <d v="2024-11-17T00:00:00"/>
    <n v="3"/>
    <s v="22:23:04"/>
    <n v="183.92399999999998"/>
    <n v="2229.0500000000002"/>
    <n v="2299.0500000000002"/>
    <n v="2115.1260000000002"/>
  </r>
  <r>
    <x v="75"/>
    <s v="Rachael Robinson"/>
    <s v="Rachael"/>
    <s v="Robinson"/>
    <n v="24"/>
    <x v="2"/>
    <x v="7"/>
    <s v="rachael.robinson@rediffmail.com"/>
    <s v="0889 Brady Points, Port Meganhaven, NM 26553"/>
    <s v="OID8699"/>
    <x v="144"/>
    <s v="02:22:40"/>
    <x v="44"/>
    <n v="110.95"/>
    <n v="5"/>
    <x v="3"/>
    <s v="20%"/>
    <n v="5"/>
    <x v="0"/>
    <n v="62"/>
    <d v="2023-05-01T00:00:00"/>
    <n v="2"/>
    <s v="00:47:16"/>
    <n v="123.34999999999997"/>
    <n v="554.75"/>
    <n v="616.75"/>
    <n v="493.40000000000003"/>
  </r>
  <r>
    <x v="46"/>
    <s v="Brittany Stewart"/>
    <s v="Brittany"/>
    <s v="Stewart"/>
    <n v="68"/>
    <x v="2"/>
    <x v="7"/>
    <s v="brittany.stewart@gmail.com"/>
    <s v="6250 David Loaf Suite 561, North Pamelaberg, WV 63652"/>
    <s v="OID1317"/>
    <x v="145"/>
    <s v="21:52:14"/>
    <x v="13"/>
    <n v="104.18"/>
    <n v="4"/>
    <x v="0"/>
    <s v="8%"/>
    <n v="4"/>
    <x v="1"/>
    <n v="45"/>
    <d v="2024-09-01T00:00:00"/>
    <n v="7"/>
    <s v="10:43:13"/>
    <n v="36.937599999999975"/>
    <n v="416.72"/>
    <n v="461.72"/>
    <n v="424.78240000000005"/>
  </r>
  <r>
    <x v="44"/>
    <s v="Lori Cook"/>
    <s v="Lori"/>
    <s v="Cook"/>
    <n v="18"/>
    <x v="1"/>
    <x v="1"/>
    <s v="lori.cook@rediffmail.com"/>
    <s v="86837 Bell Meadows, North Jasonshire, UT 51354"/>
    <s v="OID2429"/>
    <x v="146"/>
    <s v="08:31:11"/>
    <x v="27"/>
    <n v="496.59"/>
    <n v="4"/>
    <x v="3"/>
    <s v="20%"/>
    <n v="1"/>
    <x v="1"/>
    <n v="59"/>
    <d v="2024-09-06T00:00:00"/>
    <n v="6"/>
    <s v="09:56:25"/>
    <n v="409.07199999999989"/>
    <n v="1986.36"/>
    <n v="2045.36"/>
    <n v="1636.288"/>
  </r>
  <r>
    <x v="8"/>
    <s v="Bobby Forbes"/>
    <s v="Bobby"/>
    <s v="Forbes"/>
    <n v="20"/>
    <x v="0"/>
    <x v="3"/>
    <s v="bobby.forbes@gmail.com"/>
    <s v="3079 John Parkway Suite 961, Port Kristaview, MT 91019"/>
    <s v="OID4514"/>
    <x v="147"/>
    <s v="20:48:48"/>
    <x v="48"/>
    <n v="107.47"/>
    <n v="5"/>
    <x v="3"/>
    <s v="20%"/>
    <n v="6"/>
    <x v="2"/>
    <n v="48"/>
    <d v="2023-03-02T00:00:00"/>
    <n v="6"/>
    <s v="15:06:55"/>
    <n v="117.07"/>
    <n v="537.35"/>
    <n v="585.35"/>
    <n v="468.28000000000003"/>
  </r>
  <r>
    <x v="75"/>
    <s v="Rachael Robinson"/>
    <s v="Rachael"/>
    <s v="Robinson"/>
    <n v="24"/>
    <x v="2"/>
    <x v="7"/>
    <s v="rachael.robinson@rediffmail.com"/>
    <s v="0889 Brady Points, Port Meganhaven, NM 26553"/>
    <s v="OID6237"/>
    <x v="148"/>
    <s v="18:41:53"/>
    <x v="18"/>
    <n v="282.63"/>
    <n v="1"/>
    <x v="2"/>
    <s v="0 delivery charge"/>
    <n v="5"/>
    <x v="1"/>
    <n v="45"/>
    <d v="2023-10-15T00:00:00"/>
    <n v="7"/>
    <s v="19:58:13"/>
    <n v="45"/>
    <n v="282.63"/>
    <n v="327.63"/>
    <n v="282.63"/>
  </r>
  <r>
    <x v="9"/>
    <s v="Joseph Stewart"/>
    <s v="Joseph"/>
    <s v="Stewart"/>
    <n v="30"/>
    <x v="1"/>
    <x v="1"/>
    <s v="joseph.stewart@yahoo.com"/>
    <s v="4082 Wang Terrace Suite 040, Victorialand, ME 41532"/>
    <s v="OID6752"/>
    <x v="27"/>
    <s v="05:35:11"/>
    <x v="30"/>
    <n v="369.03"/>
    <n v="1"/>
    <x v="3"/>
    <s v="20%"/>
    <n v="1"/>
    <x v="1"/>
    <n v="48"/>
    <d v="2023-09-23T00:00:00"/>
    <n v="7"/>
    <s v="04:56:02"/>
    <n v="83.405999999999949"/>
    <n v="369.03"/>
    <n v="417.03"/>
    <n v="333.62400000000002"/>
  </r>
  <r>
    <x v="11"/>
    <s v="Amy Reid"/>
    <s v="Amy"/>
    <s v="Reid"/>
    <n v="44"/>
    <x v="1"/>
    <x v="3"/>
    <s v="amy.reid@rediffmail.com"/>
    <s v="6262 Simpson Village, North Danielle, RI 76074"/>
    <s v="OID7059"/>
    <x v="149"/>
    <s v="11:01:20"/>
    <x v="13"/>
    <n v="104.18"/>
    <n v="2"/>
    <x v="2"/>
    <s v="0 delivery charge"/>
    <n v="2"/>
    <x v="2"/>
    <n v="57"/>
    <d v="2024-08-11T00:00:00"/>
    <n v="2"/>
    <s v="12:21:09"/>
    <n v="57"/>
    <n v="208.36"/>
    <n v="265.36"/>
    <n v="208.36"/>
  </r>
  <r>
    <x v="38"/>
    <s v="John Ramirez"/>
    <s v="John"/>
    <s v="Ramirez"/>
    <n v="28"/>
    <x v="2"/>
    <x v="4"/>
    <s v="john.ramirez@outlook.com"/>
    <s v="02797 Martin Landing, South Michelle, VT 98781"/>
    <s v="OID6264"/>
    <x v="150"/>
    <s v="08:29:32"/>
    <x v="11"/>
    <n v="220.27"/>
    <n v="2"/>
    <x v="3"/>
    <s v="20%"/>
    <n v="1"/>
    <x v="1"/>
    <n v="42"/>
    <d v="2024-09-17T00:00:00"/>
    <n v="2"/>
    <s v="12:32:31"/>
    <n v="96.507999999999981"/>
    <n v="440.54"/>
    <n v="482.54"/>
    <n v="386.03200000000004"/>
  </r>
  <r>
    <x v="52"/>
    <s v="Brandon Cruz"/>
    <s v="Brandon"/>
    <s v="Cruz"/>
    <n v="32"/>
    <x v="2"/>
    <x v="3"/>
    <s v="brandon.cruz@gmail.com"/>
    <s v="9296 Villanueva Branch, East Kevin, CO 93912"/>
    <s v="OID5366"/>
    <x v="22"/>
    <s v="02:56:50"/>
    <x v="42"/>
    <n v="235.63"/>
    <n v="5"/>
    <x v="0"/>
    <s v="8%"/>
    <n v="4"/>
    <x v="2"/>
    <n v="52"/>
    <d v="2023-07-22T00:00:00"/>
    <n v="4"/>
    <s v="05:26:37"/>
    <n v="98.412000000000035"/>
    <n v="1178.1500000000001"/>
    <n v="1230.1500000000001"/>
    <n v="1131.7380000000001"/>
  </r>
  <r>
    <x v="58"/>
    <s v="Amy Ellis"/>
    <s v="Amy"/>
    <s v="Ellis"/>
    <n v="44"/>
    <x v="2"/>
    <x v="3"/>
    <s v="amy.ellis@gmail.com"/>
    <s v="217 Scott Ville, Christophermouth, NH 83776"/>
    <s v="OID1663"/>
    <x v="112"/>
    <s v="11:18:01"/>
    <x v="1"/>
    <n v="166.28"/>
    <n v="4"/>
    <x v="3"/>
    <s v="20%"/>
    <n v="6"/>
    <x v="1"/>
    <n v="36"/>
    <d v="2023-09-24T00:00:00"/>
    <n v="7"/>
    <s v="06:56:11"/>
    <n v="140.22399999999993"/>
    <n v="665.12"/>
    <n v="701.12"/>
    <n v="560.89600000000007"/>
  </r>
  <r>
    <x v="9"/>
    <s v="Joseph Stewart"/>
    <s v="Joseph"/>
    <s v="Stewart"/>
    <n v="30"/>
    <x v="1"/>
    <x v="1"/>
    <s v="joseph.stewart@yahoo.com"/>
    <s v="4082 Wang Terrace Suite 040, Victorialand, ME 41532"/>
    <s v="OID7664"/>
    <x v="151"/>
    <s v="03:11:30"/>
    <x v="3"/>
    <n v="405"/>
    <n v="5"/>
    <x v="4"/>
    <s v="10%"/>
    <n v="6"/>
    <x v="1"/>
    <n v="36"/>
    <d v="2023-07-20T00:00:00"/>
    <n v="7"/>
    <s v="18:17:55"/>
    <n v="206.09999999999991"/>
    <n v="2025"/>
    <n v="2061"/>
    <n v="1854.9"/>
  </r>
  <r>
    <x v="13"/>
    <s v="Erin Miller"/>
    <s v="Erin"/>
    <s v="Miller"/>
    <n v="46"/>
    <x v="0"/>
    <x v="6"/>
    <s v="erin.miller@gmail.com"/>
    <s v="65972 Peterson Route, Port Andrewfurt, SD 32892"/>
    <s v="OID4364"/>
    <x v="152"/>
    <s v="04:35:15"/>
    <x v="8"/>
    <n v="257.06"/>
    <n v="2"/>
    <x v="1"/>
    <s v="15%"/>
    <n v="7"/>
    <x v="0"/>
    <n v="59"/>
    <d v="2024-10-27T00:00:00"/>
    <n v="1"/>
    <s v="15:55:56"/>
    <n v="85.968000000000018"/>
    <n v="514.12"/>
    <n v="573.12"/>
    <n v="487.15199999999999"/>
  </r>
  <r>
    <x v="75"/>
    <s v="Rachael Robinson"/>
    <s v="Rachael"/>
    <s v="Robinson"/>
    <n v="24"/>
    <x v="2"/>
    <x v="7"/>
    <s v="rachael.robinson@rediffmail.com"/>
    <s v="0889 Brady Points, Port Meganhaven, NM 26553"/>
    <s v="OID1153"/>
    <x v="77"/>
    <s v="08:45:48"/>
    <x v="29"/>
    <n v="44.5"/>
    <n v="4"/>
    <x v="0"/>
    <s v="8%"/>
    <n v="5"/>
    <x v="1"/>
    <n v="40"/>
    <d v="2024-08-27T00:00:00"/>
    <n v="6"/>
    <s v="10:48:42"/>
    <n v="17.439999999999998"/>
    <n v="178"/>
    <n v="218"/>
    <n v="200.56"/>
  </r>
  <r>
    <x v="58"/>
    <s v="Amy Ellis"/>
    <s v="Amy"/>
    <s v="Ellis"/>
    <n v="44"/>
    <x v="2"/>
    <x v="3"/>
    <s v="amy.ellis@gmail.com"/>
    <s v="217 Scott Ville, Christophermouth, NH 83776"/>
    <s v="OID5700"/>
    <x v="153"/>
    <s v="09:39:48"/>
    <x v="29"/>
    <n v="44.5"/>
    <n v="2"/>
    <x v="1"/>
    <s v="15%"/>
    <n v="5"/>
    <x v="0"/>
    <n v="52"/>
    <d v="2024-09-28T00:00:00"/>
    <n v="2"/>
    <s v="06:37:23"/>
    <n v="21.150000000000006"/>
    <n v="89"/>
    <n v="141"/>
    <n v="119.85"/>
  </r>
  <r>
    <x v="57"/>
    <s v="Joseph Gaines"/>
    <s v="Joseph"/>
    <s v="Gaines"/>
    <n v="47"/>
    <x v="2"/>
    <x v="2"/>
    <s v="joseph.gaines@outlook.com"/>
    <s v="37549 Pope Isle Apt. 202, Tylerborough, MO 60042"/>
    <s v="OID1706"/>
    <x v="154"/>
    <s v="19:48:44"/>
    <x v="23"/>
    <n v="129.75"/>
    <n v="5"/>
    <x v="2"/>
    <s v="0 delivery charge"/>
    <n v="3"/>
    <x v="1"/>
    <n v="43"/>
    <d v="2023-05-11T00:00:00"/>
    <n v="6"/>
    <s v="16:27:41"/>
    <n v="43"/>
    <n v="648.75"/>
    <n v="691.75"/>
    <n v="648.75"/>
  </r>
  <r>
    <x v="60"/>
    <s v="Christy Chang"/>
    <s v="Christy"/>
    <s v="Chang"/>
    <n v="38"/>
    <x v="1"/>
    <x v="7"/>
    <s v="christy.chang@outlook.com"/>
    <s v="4647 Hannah Centers, Rhodesburgh, NH 89363"/>
    <s v="OID6420"/>
    <x v="155"/>
    <s v="18:18:32"/>
    <x v="20"/>
    <n v="62.42"/>
    <n v="4"/>
    <x v="3"/>
    <s v="20%"/>
    <n v="4"/>
    <x v="0"/>
    <n v="37"/>
    <d v="2024-01-30T00:00:00"/>
    <n v="3"/>
    <s v="10:39:26"/>
    <n v="57.335999999999984"/>
    <n v="249.68"/>
    <n v="286.68"/>
    <n v="229.34400000000002"/>
  </r>
  <r>
    <x v="65"/>
    <s v="Lisa Miller"/>
    <s v="Lisa"/>
    <s v="Miller"/>
    <n v="70"/>
    <x v="1"/>
    <x v="3"/>
    <s v="lisa.miller@gmail.com"/>
    <s v="89748 Campbell Drive, South Tannerland, WI 13143"/>
    <s v="OID2659"/>
    <x v="156"/>
    <s v="16:59:55"/>
    <x v="33"/>
    <n v="421.7"/>
    <n v="4"/>
    <x v="0"/>
    <s v="8%"/>
    <n v="7"/>
    <x v="0"/>
    <n v="69"/>
    <d v="2024-08-10T00:00:00"/>
    <n v="6"/>
    <s v="01:05:29"/>
    <n v="140.46399999999994"/>
    <n v="1686.8"/>
    <n v="1755.8"/>
    <n v="1615.336"/>
  </r>
  <r>
    <x v="10"/>
    <s v="Kara Brennan"/>
    <s v="Kara"/>
    <s v="Brennan"/>
    <n v="25"/>
    <x v="2"/>
    <x v="4"/>
    <s v="kara.brennan@outlook.com"/>
    <s v="2174 Thomas Avenue, Maciasborough, NJ 41465"/>
    <s v="OID5326"/>
    <x v="157"/>
    <s v="13:40:51"/>
    <x v="49"/>
    <n v="33.49"/>
    <n v="1"/>
    <x v="2"/>
    <s v="0 delivery charge"/>
    <n v="1"/>
    <x v="1"/>
    <n v="59"/>
    <d v="2024-10-20T00:00:00"/>
    <n v="5"/>
    <s v="00:35:18"/>
    <n v="59"/>
    <n v="33.49"/>
    <n v="92.490000000000009"/>
    <n v="33.490000000000009"/>
  </r>
  <r>
    <x v="76"/>
    <s v="Natasha Michael"/>
    <s v="Natasha"/>
    <s v="Michael"/>
    <n v="49"/>
    <x v="0"/>
    <x v="1"/>
    <s v="natasha.michael@gmail.com"/>
    <s v="78992 Justin Estates Suite 226, Floresberg, NM 40797"/>
    <s v="OID4465"/>
    <x v="158"/>
    <s v="08:11:19"/>
    <x v="12"/>
    <n v="272.51"/>
    <n v="4"/>
    <x v="2"/>
    <s v="0 delivery charge"/>
    <n v="1"/>
    <x v="1"/>
    <n v="51"/>
    <d v="2024-07-07T00:00:00"/>
    <n v="2"/>
    <s v="18:28:53"/>
    <n v="51"/>
    <n v="1090.04"/>
    <n v="1141.04"/>
    <n v="1090.04"/>
  </r>
  <r>
    <x v="51"/>
    <s v="Jason Nguyen"/>
    <s v="Jason"/>
    <s v="Nguyen"/>
    <n v="51"/>
    <x v="2"/>
    <x v="4"/>
    <s v="jason.nguyen@yahoo.com"/>
    <s v="7112 Travis Glens Suite 790, Crystalland, WV 38373"/>
    <s v="OID9324"/>
    <x v="159"/>
    <s v="02:27:18"/>
    <x v="37"/>
    <n v="133.62"/>
    <n v="2"/>
    <x v="0"/>
    <s v="8%"/>
    <n v="1"/>
    <x v="1"/>
    <n v="48"/>
    <d v="2023-03-30T00:00:00"/>
    <n v="5"/>
    <s v="04:48:38"/>
    <n v="25.219200000000001"/>
    <n v="267.24"/>
    <n v="315.24"/>
    <n v="290.02080000000001"/>
  </r>
  <r>
    <x v="68"/>
    <s v="Kristina Haynes"/>
    <s v="Kristina"/>
    <s v="Haynes"/>
    <n v="27"/>
    <x v="0"/>
    <x v="1"/>
    <s v="kristina.haynes@yahoo.com"/>
    <s v="18295 Thomas River, Kochville, NH 80868"/>
    <s v="OID9267"/>
    <x v="71"/>
    <s v="05:33:41"/>
    <x v="8"/>
    <n v="257.06"/>
    <n v="4"/>
    <x v="2"/>
    <s v="0 delivery charge"/>
    <n v="5"/>
    <x v="0"/>
    <n v="52"/>
    <d v="2023-07-29T00:00:00"/>
    <n v="4"/>
    <s v="13:20:58"/>
    <n v="52"/>
    <n v="1028.24"/>
    <n v="1080.24"/>
    <n v="1028.24"/>
  </r>
  <r>
    <x v="10"/>
    <s v="Kara Brennan"/>
    <s v="Kara"/>
    <s v="Brennan"/>
    <n v="25"/>
    <x v="2"/>
    <x v="4"/>
    <s v="kara.brennan@outlook.com"/>
    <s v="2174 Thomas Avenue, Maciasborough, NJ 41465"/>
    <s v="OID5402"/>
    <x v="160"/>
    <s v="18:14:45"/>
    <x v="46"/>
    <n v="20"/>
    <n v="5"/>
    <x v="1"/>
    <s v="15%"/>
    <n v="6"/>
    <x v="2"/>
    <n v="36"/>
    <d v="2024-06-20T00:00:00"/>
    <n v="6"/>
    <s v="13:20:38"/>
    <n v="20.400000000000006"/>
    <n v="100"/>
    <n v="136"/>
    <n v="115.6"/>
  </r>
  <r>
    <x v="64"/>
    <s v="Bruce Allen"/>
    <s v="Bruce"/>
    <s v="Allen"/>
    <n v="32"/>
    <x v="1"/>
    <x v="0"/>
    <s v="bruce.allen@rediffmail.com"/>
    <s v="2417 Brown Ford, West Timothyside, RI 45629"/>
    <s v="OID8716"/>
    <x v="161"/>
    <s v="03:08:05"/>
    <x v="42"/>
    <n v="235.63"/>
    <n v="3"/>
    <x v="4"/>
    <s v="10%"/>
    <n v="5"/>
    <x v="0"/>
    <n v="44"/>
    <d v="2024-02-25T00:00:00"/>
    <n v="4"/>
    <s v="04:04:13"/>
    <n v="75.088999999999942"/>
    <n v="706.89"/>
    <n v="750.89"/>
    <n v="675.80100000000004"/>
  </r>
  <r>
    <x v="0"/>
    <s v="Anne Oconnell"/>
    <s v="Anne"/>
    <s v="Oconnell"/>
    <n v="37"/>
    <x v="0"/>
    <x v="0"/>
    <s v="anne.oconnell@outlook.com"/>
    <s v="2850 Matthew Ford, North Yolandachester, FL 67488"/>
    <s v="OID4014"/>
    <x v="162"/>
    <s v="21:06:59"/>
    <x v="37"/>
    <n v="133.62"/>
    <n v="5"/>
    <x v="2"/>
    <s v="0 delivery charge"/>
    <n v="7"/>
    <x v="0"/>
    <n v="58"/>
    <d v="2023-06-21T00:00:00"/>
    <n v="3"/>
    <s v="00:33:10"/>
    <n v="58"/>
    <n v="668.1"/>
    <n v="726.1"/>
    <n v="668.1"/>
  </r>
  <r>
    <x v="47"/>
    <s v="Mitchell Parker"/>
    <s v="Mitchell"/>
    <s v="Parker"/>
    <n v="39"/>
    <x v="2"/>
    <x v="1"/>
    <s v="mitchell.parker@yahoo.com"/>
    <s v="PSC 3316, Box 9303, APO AE 29513"/>
    <s v="OID8569"/>
    <x v="163"/>
    <s v="14:49:31"/>
    <x v="33"/>
    <n v="421.7"/>
    <n v="2"/>
    <x v="0"/>
    <s v="8%"/>
    <n v="5"/>
    <x v="0"/>
    <n v="45"/>
    <d v="2024-12-27T00:00:00"/>
    <n v="2"/>
    <s v="04:10:37"/>
    <n v="71.072000000000003"/>
    <n v="843.4"/>
    <n v="888.4"/>
    <n v="817.32799999999997"/>
  </r>
  <r>
    <x v="15"/>
    <s v="Mallory Mitchell"/>
    <s v="Mallory"/>
    <s v="Mitchell"/>
    <n v="42"/>
    <x v="1"/>
    <x v="6"/>
    <s v="mallory.mitchell@yahoo.com"/>
    <s v="710 Anthony Wall Suite 137, East Davidstad, NV 61494"/>
    <s v="OID6330"/>
    <x v="164"/>
    <s v="19:40:44"/>
    <x v="26"/>
    <n v="372.62"/>
    <n v="1"/>
    <x v="1"/>
    <s v="15%"/>
    <n v="3"/>
    <x v="2"/>
    <n v="35"/>
    <d v="2024-06-15T00:00:00"/>
    <n v="3"/>
    <s v="16:30:13"/>
    <n v="61.143000000000029"/>
    <n v="372.62"/>
    <n v="407.62"/>
    <n v="346.47699999999998"/>
  </r>
  <r>
    <x v="52"/>
    <s v="Brandon Cruz"/>
    <s v="Brandon"/>
    <s v="Cruz"/>
    <n v="32"/>
    <x v="2"/>
    <x v="3"/>
    <s v="brandon.cruz@gmail.com"/>
    <s v="9296 Villanueva Branch, East Kevin, CO 93912"/>
    <s v="OID6607"/>
    <x v="164"/>
    <s v="16:25:28"/>
    <x v="5"/>
    <n v="363.64"/>
    <n v="3"/>
    <x v="2"/>
    <s v="0 delivery charge"/>
    <n v="3"/>
    <x v="1"/>
    <n v="70"/>
    <d v="2024-06-18T00:00:00"/>
    <n v="6"/>
    <s v="13:33:22"/>
    <n v="70"/>
    <n v="1090.92"/>
    <n v="1160.92"/>
    <n v="1090.92"/>
  </r>
  <r>
    <x v="4"/>
    <s v="Christine West"/>
    <s v="Christine"/>
    <s v="West"/>
    <n v="53"/>
    <x v="2"/>
    <x v="2"/>
    <s v="christine.west@gmail.com"/>
    <s v="Unit 1433 Box 0246, DPO AP 94952"/>
    <s v="OID4892"/>
    <x v="153"/>
    <s v="05:57:45"/>
    <x v="4"/>
    <n v="330.11"/>
    <n v="4"/>
    <x v="3"/>
    <s v="20%"/>
    <n v="4"/>
    <x v="1"/>
    <n v="47"/>
    <d v="2024-10-01T00:00:00"/>
    <n v="5"/>
    <s v="08:04:55"/>
    <n v="273.48800000000006"/>
    <n v="1320.44"/>
    <n v="1367.44"/>
    <n v="1093.952"/>
  </r>
  <r>
    <x v="28"/>
    <s v="Jenny Estrada"/>
    <s v="Jenny"/>
    <s v="Estrada"/>
    <n v="45"/>
    <x v="0"/>
    <x v="1"/>
    <s v="jenny.estrada@yahoo.com"/>
    <s v="792 Carlos Islands, West David, CT 16522"/>
    <s v="OID9692"/>
    <x v="165"/>
    <s v="13:16:36"/>
    <x v="48"/>
    <n v="107.47"/>
    <n v="1"/>
    <x v="4"/>
    <s v="10%"/>
    <n v="5"/>
    <x v="2"/>
    <n v="56"/>
    <d v="2023-06-27T00:00:00"/>
    <n v="5"/>
    <s v="23:44:01"/>
    <n v="16.347000000000008"/>
    <n v="107.47"/>
    <n v="163.47"/>
    <n v="147.12299999999999"/>
  </r>
  <r>
    <x v="13"/>
    <s v="Erin Miller"/>
    <s v="Erin"/>
    <s v="Miller"/>
    <n v="46"/>
    <x v="0"/>
    <x v="6"/>
    <s v="erin.miller@gmail.com"/>
    <s v="65972 Peterson Route, Port Andrewfurt, SD 32892"/>
    <s v="OID4746"/>
    <x v="67"/>
    <s v="07:44:52"/>
    <x v="17"/>
    <n v="126.19"/>
    <n v="1"/>
    <x v="3"/>
    <s v="20%"/>
    <n v="5"/>
    <x v="0"/>
    <n v="68"/>
    <d v="2024-10-23T00:00:00"/>
    <n v="2"/>
    <s v="00:28:50"/>
    <n v="38.837999999999994"/>
    <n v="126.19"/>
    <n v="194.19"/>
    <n v="155.352"/>
  </r>
  <r>
    <x v="59"/>
    <s v="Beth Mason"/>
    <s v="Beth"/>
    <s v="Mason"/>
    <n v="45"/>
    <x v="2"/>
    <x v="3"/>
    <s v="beth.mason@outlook.com"/>
    <s v="58998 Sherry Haven, East Richard, FL 90775"/>
    <s v="OID6057"/>
    <x v="166"/>
    <s v="12:51:15"/>
    <x v="45"/>
    <n v="381.73"/>
    <n v="2"/>
    <x v="2"/>
    <s v="0 delivery charge"/>
    <n v="5"/>
    <x v="1"/>
    <n v="38"/>
    <d v="2023-05-20T00:00:00"/>
    <n v="6"/>
    <s v="23:34:55"/>
    <n v="38"/>
    <n v="763.46"/>
    <n v="801.46"/>
    <n v="763.46"/>
  </r>
  <r>
    <x v="45"/>
    <s v="Debra Hayes"/>
    <s v="Debra"/>
    <s v="Hayes"/>
    <n v="33"/>
    <x v="0"/>
    <x v="6"/>
    <s v="debra.hayes@yahoo.com"/>
    <s v="4601 Miller Lock, Williamsbury, IA 10943"/>
    <s v="OID3134"/>
    <x v="167"/>
    <s v="22:55:27"/>
    <x v="47"/>
    <n v="292.14999999999998"/>
    <n v="5"/>
    <x v="4"/>
    <s v="10%"/>
    <n v="6"/>
    <x v="0"/>
    <n v="68"/>
    <d v="2023-05-25T00:00:00"/>
    <n v="2"/>
    <s v="22:37:23"/>
    <n v="152.875"/>
    <n v="1460.75"/>
    <n v="1528.75"/>
    <n v="1375.875"/>
  </r>
  <r>
    <x v="47"/>
    <s v="Mitchell Parker"/>
    <s v="Mitchell"/>
    <s v="Parker"/>
    <n v="39"/>
    <x v="2"/>
    <x v="1"/>
    <s v="mitchell.parker@yahoo.com"/>
    <s v="PSC 3316, Box 9303, APO AE 29513"/>
    <s v="OID7980"/>
    <x v="168"/>
    <s v="01:31:08"/>
    <x v="34"/>
    <n v="136.30000000000001"/>
    <n v="3"/>
    <x v="1"/>
    <s v="15%"/>
    <n v="6"/>
    <x v="1"/>
    <n v="42"/>
    <d v="2023-04-27T00:00:00"/>
    <n v="7"/>
    <s v="14:39:46"/>
    <n v="67.634999999999991"/>
    <n v="408.90000000000003"/>
    <n v="450.90000000000003"/>
    <n v="383.26500000000004"/>
  </r>
  <r>
    <x v="58"/>
    <s v="Amy Ellis"/>
    <s v="Amy"/>
    <s v="Ellis"/>
    <n v="44"/>
    <x v="2"/>
    <x v="3"/>
    <s v="amy.ellis@gmail.com"/>
    <s v="217 Scott Ville, Christophermouth, NH 83776"/>
    <s v="OID7432"/>
    <x v="169"/>
    <s v="15:02:28"/>
    <x v="39"/>
    <n v="403.03"/>
    <n v="3"/>
    <x v="1"/>
    <s v="15%"/>
    <n v="4"/>
    <x v="1"/>
    <n v="67"/>
    <d v="2023-10-14T00:00:00"/>
    <n v="5"/>
    <s v="04:23:57"/>
    <n v="191.41350000000011"/>
    <n v="1209.0899999999999"/>
    <n v="1276.0899999999999"/>
    <n v="1084.6764999999998"/>
  </r>
  <r>
    <x v="40"/>
    <s v="Mary Knight"/>
    <s v="Mary"/>
    <s v="Knight"/>
    <n v="28"/>
    <x v="2"/>
    <x v="2"/>
    <s v="mary.knight@yahoo.com"/>
    <s v="907 Kimberly Hill, Murrayfort, NH 88384"/>
    <s v="OID9465"/>
    <x v="170"/>
    <s v="06:54:02"/>
    <x v="40"/>
    <n v="445.81"/>
    <n v="2"/>
    <x v="2"/>
    <s v="0 delivery charge"/>
    <n v="7"/>
    <x v="0"/>
    <n v="67"/>
    <d v="2023-11-12T00:00:00"/>
    <n v="1"/>
    <s v="12:39:46"/>
    <n v="67"/>
    <n v="891.62"/>
    <n v="958.62"/>
    <n v="891.62"/>
  </r>
  <r>
    <x v="77"/>
    <s v="Christine Aguilar"/>
    <s v="Christine"/>
    <s v="Aguilar"/>
    <n v="46"/>
    <x v="0"/>
    <x v="0"/>
    <s v="christine.aguilar@gmail.com"/>
    <s v="3284 Martin Neck, Lopezville, NY 69154"/>
    <s v="OID9872"/>
    <x v="154"/>
    <s v="08:20:59"/>
    <x v="23"/>
    <n v="129.75"/>
    <n v="5"/>
    <x v="3"/>
    <s v="20%"/>
    <n v="6"/>
    <x v="2"/>
    <n v="38"/>
    <d v="2023-05-11T00:00:00"/>
    <n v="6"/>
    <s v="17:38:42"/>
    <n v="137.35000000000002"/>
    <n v="648.75"/>
    <n v="686.75"/>
    <n v="549.4"/>
  </r>
  <r>
    <x v="49"/>
    <s v="Sarah Butler"/>
    <s v="Sarah"/>
    <s v="Butler"/>
    <n v="64"/>
    <x v="0"/>
    <x v="0"/>
    <s v="sarah.butler@rediffmail.com"/>
    <s v="14131 Edwin Shore Apt. 190, Deniseberg, MD 90905"/>
    <s v="OID6856"/>
    <x v="9"/>
    <s v="14:00:27"/>
    <x v="49"/>
    <n v="33.49"/>
    <n v="3"/>
    <x v="1"/>
    <s v="15%"/>
    <n v="2"/>
    <x v="2"/>
    <n v="62"/>
    <d v="2023-12-24T00:00:00"/>
    <n v="2"/>
    <s v="12:31:34"/>
    <n v="24.370499999999993"/>
    <n v="100.47"/>
    <n v="162.47"/>
    <n v="138.09950000000001"/>
  </r>
  <r>
    <x v="52"/>
    <s v="Brandon Cruz"/>
    <s v="Brandon"/>
    <s v="Cruz"/>
    <n v="32"/>
    <x v="2"/>
    <x v="3"/>
    <s v="brandon.cruz@gmail.com"/>
    <s v="9296 Villanueva Branch, East Kevin, CO 93912"/>
    <s v="OID1826"/>
    <x v="117"/>
    <s v="15:26:43"/>
    <x v="4"/>
    <n v="330.11"/>
    <n v="4"/>
    <x v="3"/>
    <s v="20%"/>
    <n v="2"/>
    <x v="1"/>
    <n v="69"/>
    <d v="2025-02-07T00:00:00"/>
    <n v="6"/>
    <s v="23:02:25"/>
    <n v="277.88799999999992"/>
    <n v="1320.44"/>
    <n v="1389.44"/>
    <n v="1111.5520000000001"/>
  </r>
  <r>
    <x v="37"/>
    <s v="Alexandra Smith"/>
    <s v="Alexandra"/>
    <s v="Smith"/>
    <n v="70"/>
    <x v="0"/>
    <x v="0"/>
    <s v="alexandra.smith@rediffmail.com"/>
    <s v="48611 Clark Village, West Anne, GA 92865"/>
    <s v="OID3421"/>
    <x v="144"/>
    <s v="22:25:26"/>
    <x v="2"/>
    <n v="202.54"/>
    <n v="5"/>
    <x v="1"/>
    <s v="15%"/>
    <n v="1"/>
    <x v="1"/>
    <n v="47"/>
    <d v="2023-05-05T00:00:00"/>
    <n v="6"/>
    <s v="20:52:06"/>
    <n v="158.95500000000004"/>
    <n v="1012.6999999999999"/>
    <n v="1059.6999999999998"/>
    <n v="900.74499999999978"/>
  </r>
  <r>
    <x v="54"/>
    <s v="Ashley Romero"/>
    <s v="Ashley"/>
    <s v="Romero"/>
    <n v="35"/>
    <x v="0"/>
    <x v="0"/>
    <s v="ashley.romero@yahoo.com"/>
    <s v="547 Kerry Expressway, Lake Amanda, AR 20321"/>
    <s v="OID6869"/>
    <x v="171"/>
    <s v="00:02:50"/>
    <x v="1"/>
    <n v="166.28"/>
    <n v="4"/>
    <x v="4"/>
    <s v="10%"/>
    <n v="4"/>
    <x v="2"/>
    <n v="44"/>
    <d v="2023-11-27T00:00:00"/>
    <n v="4"/>
    <s v="20:49:10"/>
    <n v="70.912000000000035"/>
    <n v="665.12"/>
    <n v="709.12"/>
    <n v="638.20799999999997"/>
  </r>
  <r>
    <x v="40"/>
    <s v="Mary Knight"/>
    <s v="Mary"/>
    <s v="Knight"/>
    <n v="28"/>
    <x v="2"/>
    <x v="2"/>
    <s v="mary.knight@yahoo.com"/>
    <s v="907 Kimberly Hill, Murrayfort, NH 88384"/>
    <s v="OID6635"/>
    <x v="172"/>
    <s v="22:46:23"/>
    <x v="47"/>
    <n v="292.14999999999998"/>
    <n v="2"/>
    <x v="1"/>
    <s v="15%"/>
    <n v="4"/>
    <x v="0"/>
    <n v="58"/>
    <d v="2024-08-22T00:00:00"/>
    <n v="3"/>
    <s v="08:30:57"/>
    <n v="96.345000000000027"/>
    <n v="584.29999999999995"/>
    <n v="642.29999999999995"/>
    <n v="545.95499999999993"/>
  </r>
  <r>
    <x v="77"/>
    <s v="Christine Aguilar"/>
    <s v="Christine"/>
    <s v="Aguilar"/>
    <n v="46"/>
    <x v="0"/>
    <x v="0"/>
    <s v="christine.aguilar@gmail.com"/>
    <s v="3284 Martin Neck, Lopezville, NY 69154"/>
    <s v="OID8295"/>
    <x v="173"/>
    <s v="08:00:47"/>
    <x v="12"/>
    <n v="272.51"/>
    <n v="4"/>
    <x v="2"/>
    <s v="0 delivery charge"/>
    <n v="7"/>
    <x v="0"/>
    <n v="38"/>
    <d v="2024-07-09T00:00:00"/>
    <n v="1"/>
    <s v="17:20:58"/>
    <n v="38"/>
    <n v="1090.04"/>
    <n v="1128.04"/>
    <n v="1090.04"/>
  </r>
  <r>
    <x v="28"/>
    <s v="Jenny Estrada"/>
    <s v="Jenny"/>
    <s v="Estrada"/>
    <n v="45"/>
    <x v="0"/>
    <x v="1"/>
    <s v="jenny.estrada@yahoo.com"/>
    <s v="792 Carlos Islands, West David, CT 16522"/>
    <s v="OID4642"/>
    <x v="15"/>
    <s v="09:33:35"/>
    <x v="21"/>
    <n v="157.63999999999999"/>
    <n v="3"/>
    <x v="3"/>
    <s v="20%"/>
    <n v="2"/>
    <x v="1"/>
    <n v="47"/>
    <d v="2023-06-08T00:00:00"/>
    <n v="6"/>
    <s v="13:06:14"/>
    <n v="103.98399999999998"/>
    <n v="472.91999999999996"/>
    <n v="519.91999999999996"/>
    <n v="415.93599999999998"/>
  </r>
  <r>
    <x v="27"/>
    <s v="Valerie Carr"/>
    <s v="Valerie"/>
    <s v="Carr"/>
    <n v="26"/>
    <x v="2"/>
    <x v="6"/>
    <s v="valerie.carr@rediffmail.com"/>
    <s v="981 Emily Stream, South Brianna, CO 98063"/>
    <s v="OID7380"/>
    <x v="174"/>
    <s v="00:13:11"/>
    <x v="20"/>
    <n v="62.42"/>
    <n v="3"/>
    <x v="1"/>
    <s v="15%"/>
    <n v="5"/>
    <x v="2"/>
    <n v="62"/>
    <d v="2023-05-12T00:00:00"/>
    <n v="5"/>
    <s v="18:31:17"/>
    <n v="37.38900000000001"/>
    <n v="187.26"/>
    <n v="249.26"/>
    <n v="211.87099999999998"/>
  </r>
  <r>
    <x v="50"/>
    <s v="Katherine Weber"/>
    <s v="Katherine"/>
    <s v="Weber"/>
    <n v="42"/>
    <x v="2"/>
    <x v="2"/>
    <s v="katherine.weber@outlook.com"/>
    <s v="04887 Kimberly Union Apt. 645, Port Laura, IL 97219"/>
    <s v="OID1086"/>
    <x v="69"/>
    <s v="20:01:38"/>
    <x v="5"/>
    <n v="363.64"/>
    <n v="3"/>
    <x v="0"/>
    <s v="8%"/>
    <n v="5"/>
    <x v="1"/>
    <n v="53"/>
    <d v="2024-07-29T00:00:00"/>
    <n v="7"/>
    <s v="12:58:48"/>
    <n v="91.513599999999997"/>
    <n v="1090.92"/>
    <n v="1143.92"/>
    <n v="1052.4064000000001"/>
  </r>
  <r>
    <x v="53"/>
    <s v="Jodi Whitney"/>
    <s v="Jodi"/>
    <s v="Whitney"/>
    <n v="33"/>
    <x v="2"/>
    <x v="6"/>
    <s v="jodi.whitney@yahoo.com"/>
    <s v="72876 Lara Key Suite 383, Gutierrezton, OR 71683"/>
    <s v="OID6936"/>
    <x v="22"/>
    <s v="06:33:55"/>
    <x v="38"/>
    <n v="477.52"/>
    <n v="4"/>
    <x v="3"/>
    <s v="20%"/>
    <n v="5"/>
    <x v="0"/>
    <n v="55"/>
    <d v="2023-07-20T00:00:00"/>
    <n v="2"/>
    <s v="13:05:17"/>
    <n v="393.01599999999985"/>
    <n v="1910.08"/>
    <n v="1965.08"/>
    <n v="1572.0640000000001"/>
  </r>
  <r>
    <x v="78"/>
    <s v="Mark Summers"/>
    <s v="Mark"/>
    <s v="Summers"/>
    <n v="55"/>
    <x v="1"/>
    <x v="5"/>
    <s v="mark.summers@outlook.com"/>
    <s v="08413 Lynch Parkway, Calderonstad, NV 32697"/>
    <s v="OID2938"/>
    <x v="34"/>
    <s v="19:46:32"/>
    <x v="17"/>
    <n v="126.19"/>
    <n v="2"/>
    <x v="2"/>
    <s v="0 delivery charge"/>
    <n v="5"/>
    <x v="1"/>
    <n v="59"/>
    <d v="2023-09-05T00:00:00"/>
    <n v="6"/>
    <s v="23:22:12"/>
    <n v="59"/>
    <n v="252.38"/>
    <n v="311.38"/>
    <n v="252.38"/>
  </r>
  <r>
    <x v="66"/>
    <s v="Melissa Levy"/>
    <s v="Melissa"/>
    <s v="Levy"/>
    <n v="30"/>
    <x v="0"/>
    <x v="5"/>
    <s v="melissa.levy@rediffmail.com"/>
    <s v="3303 Kennedy Springs Suite 830, East Amybury, MI 95595"/>
    <s v="OID8074"/>
    <x v="175"/>
    <s v="20:47:44"/>
    <x v="32"/>
    <n v="87.09"/>
    <n v="1"/>
    <x v="4"/>
    <s v="10%"/>
    <n v="1"/>
    <x v="2"/>
    <n v="61"/>
    <d v="2024-01-30T00:00:00"/>
    <n v="1"/>
    <s v="00:16:22"/>
    <n v="14.808999999999997"/>
    <n v="87.09"/>
    <n v="148.09"/>
    <n v="133.28100000000001"/>
  </r>
  <r>
    <x v="36"/>
    <s v="Jason Lopez"/>
    <s v="Jason"/>
    <s v="Lopez"/>
    <n v="40"/>
    <x v="2"/>
    <x v="6"/>
    <s v="jason.lopez@outlook.com"/>
    <s v="934 Levine View, Brentport, NE 38210"/>
    <s v="OID1076"/>
    <x v="176"/>
    <s v="14:37:23"/>
    <x v="44"/>
    <n v="110.95"/>
    <n v="3"/>
    <x v="4"/>
    <s v="10%"/>
    <n v="6"/>
    <x v="0"/>
    <n v="65"/>
    <d v="2023-06-02T00:00:00"/>
    <n v="5"/>
    <s v="01:58:28"/>
    <n v="39.784999999999968"/>
    <n v="332.85"/>
    <n v="397.85"/>
    <n v="358.06500000000005"/>
  </r>
  <r>
    <x v="58"/>
    <s v="Amy Ellis"/>
    <s v="Amy"/>
    <s v="Ellis"/>
    <n v="44"/>
    <x v="2"/>
    <x v="3"/>
    <s v="amy.ellis@gmail.com"/>
    <s v="217 Scott Ville, Christophermouth, NH 83776"/>
    <s v="OID8347"/>
    <x v="177"/>
    <s v="00:08:51"/>
    <x v="49"/>
    <n v="33.49"/>
    <n v="1"/>
    <x v="0"/>
    <s v="8%"/>
    <n v="2"/>
    <x v="0"/>
    <n v="67"/>
    <d v="2023-12-26T00:00:00"/>
    <n v="1"/>
    <s v="10:47:50"/>
    <n v="8.0391999999999939"/>
    <n v="33.49"/>
    <n v="100.49000000000001"/>
    <n v="92.450800000000015"/>
  </r>
  <r>
    <x v="39"/>
    <s v="Amanda Howard"/>
    <s v="Amanda"/>
    <s v="Howard"/>
    <n v="52"/>
    <x v="2"/>
    <x v="7"/>
    <s v="amanda.howard@outlook.com"/>
    <s v="56908 Sydney Park Suite 632, West Anthonyport, NC 15954"/>
    <s v="OID6373"/>
    <x v="178"/>
    <s v="09:31:27"/>
    <x v="36"/>
    <n v="425.59"/>
    <n v="3"/>
    <x v="0"/>
    <s v="8%"/>
    <n v="7"/>
    <x v="0"/>
    <n v="68"/>
    <d v="2023-03-20T00:00:00"/>
    <n v="4"/>
    <s v="22:18:21"/>
    <n v="107.58159999999998"/>
    <n v="1276.77"/>
    <n v="1344.77"/>
    <n v="1237.1884"/>
  </r>
  <r>
    <x v="78"/>
    <s v="Mark Summers"/>
    <s v="Mark"/>
    <s v="Summers"/>
    <n v="55"/>
    <x v="1"/>
    <x v="5"/>
    <s v="mark.summers@outlook.com"/>
    <s v="08413 Lynch Parkway, Calderonstad, NV 32697"/>
    <s v="OID5913"/>
    <x v="31"/>
    <s v="09:46:43"/>
    <x v="35"/>
    <n v="441.03"/>
    <n v="5"/>
    <x v="1"/>
    <s v="15%"/>
    <n v="3"/>
    <x v="1"/>
    <n v="37"/>
    <d v="2023-04-28T00:00:00"/>
    <n v="5"/>
    <s v="06:31:08"/>
    <n v="336.32249999999999"/>
    <n v="2205.1499999999996"/>
    <n v="2242.1499999999996"/>
    <n v="1905.8274999999996"/>
  </r>
  <r>
    <x v="51"/>
    <s v="Jason Nguyen"/>
    <s v="Jason"/>
    <s v="Nguyen"/>
    <n v="51"/>
    <x v="2"/>
    <x v="4"/>
    <s v="jason.nguyen@yahoo.com"/>
    <s v="7112 Travis Glens Suite 790, Crystalland, WV 38373"/>
    <s v="OID2941"/>
    <x v="179"/>
    <s v="21:17:39"/>
    <x v="23"/>
    <n v="129.75"/>
    <n v="3"/>
    <x v="1"/>
    <s v="15%"/>
    <n v="5"/>
    <x v="0"/>
    <n v="37"/>
    <d v="2024-02-19T00:00:00"/>
    <n v="2"/>
    <s v="06:07:50"/>
    <n v="63.9375"/>
    <n v="389.25"/>
    <n v="426.25"/>
    <n v="362.3125"/>
  </r>
  <r>
    <x v="79"/>
    <s v="Gary Huff"/>
    <s v="Gary"/>
    <s v="Huff"/>
    <n v="18"/>
    <x v="0"/>
    <x v="2"/>
    <s v="gary.huff@gmail.com"/>
    <s v="58608 Alexander Terrace, South Bryan, SC 85541"/>
    <s v="OID9627"/>
    <x v="180"/>
    <s v="12:28:28"/>
    <x v="42"/>
    <n v="235.63"/>
    <n v="1"/>
    <x v="0"/>
    <s v="8%"/>
    <n v="6"/>
    <x v="0"/>
    <n v="58"/>
    <d v="2024-03-03T00:00:00"/>
    <n v="5"/>
    <s v="12:21:43"/>
    <n v="23.490399999999966"/>
    <n v="235.63"/>
    <n v="293.63"/>
    <n v="270.13960000000003"/>
  </r>
  <r>
    <x v="14"/>
    <s v="Gina Moreno"/>
    <s v="Gina"/>
    <s v="Moreno"/>
    <n v="36"/>
    <x v="2"/>
    <x v="4"/>
    <s v="gina.moreno@rediffmail.com"/>
    <s v="USS Murray, FPO AP 66559"/>
    <s v="OID9705"/>
    <x v="181"/>
    <s v="03:29:39"/>
    <x v="34"/>
    <n v="136.30000000000001"/>
    <n v="2"/>
    <x v="3"/>
    <s v="20%"/>
    <n v="7"/>
    <x v="0"/>
    <n v="51"/>
    <d v="2024-09-15T00:00:00"/>
    <n v="1"/>
    <s v="23:33:34"/>
    <n v="64.71999999999997"/>
    <n v="272.60000000000002"/>
    <n v="323.60000000000002"/>
    <n v="258.88000000000005"/>
  </r>
  <r>
    <x v="46"/>
    <s v="Brittany Stewart"/>
    <s v="Brittany"/>
    <s v="Stewart"/>
    <n v="68"/>
    <x v="2"/>
    <x v="7"/>
    <s v="brittany.stewart@gmail.com"/>
    <s v="6250 David Loaf Suite 561, North Pamelaberg, WV 63652"/>
    <s v="OID7486"/>
    <x v="182"/>
    <s v="18:27:23"/>
    <x v="48"/>
    <n v="107.47"/>
    <n v="4"/>
    <x v="3"/>
    <s v="20%"/>
    <n v="5"/>
    <x v="0"/>
    <n v="51"/>
    <d v="2023-07-08T00:00:00"/>
    <n v="3"/>
    <s v="12:42:53"/>
    <n v="96.175999999999988"/>
    <n v="429.88"/>
    <n v="480.88"/>
    <n v="384.70400000000001"/>
  </r>
  <r>
    <x v="75"/>
    <s v="Rachael Robinson"/>
    <s v="Rachael"/>
    <s v="Robinson"/>
    <n v="24"/>
    <x v="2"/>
    <x v="7"/>
    <s v="rachael.robinson@rediffmail.com"/>
    <s v="0889 Brady Points, Port Meganhaven, NM 26553"/>
    <s v="OID4560"/>
    <x v="183"/>
    <s v="14:41:09"/>
    <x v="6"/>
    <n v="275.44"/>
    <n v="2"/>
    <x v="0"/>
    <s v="8%"/>
    <n v="2"/>
    <x v="1"/>
    <n v="36"/>
    <d v="2023-12-16T00:00:00"/>
    <n v="5"/>
    <s v="07:56:25"/>
    <n v="46.950399999999945"/>
    <n v="550.88"/>
    <n v="586.88"/>
    <n v="539.92960000000005"/>
  </r>
  <r>
    <x v="69"/>
    <s v="Lindsey Byrd"/>
    <s v="Lindsey"/>
    <s v="Byrd"/>
    <n v="32"/>
    <x v="0"/>
    <x v="5"/>
    <s v="lindsey.byrd@rediffmail.com"/>
    <s v="USCGC Harper, FPO AA 38349"/>
    <s v="OID1379"/>
    <x v="10"/>
    <s v="11:50:19"/>
    <x v="48"/>
    <n v="107.47"/>
    <n v="2"/>
    <x v="1"/>
    <s v="15%"/>
    <n v="5"/>
    <x v="0"/>
    <n v="55"/>
    <d v="2024-10-27T00:00:00"/>
    <n v="4"/>
    <s v="11:48:40"/>
    <n v="40.491000000000014"/>
    <n v="214.94"/>
    <n v="269.94"/>
    <n v="229.44899999999998"/>
  </r>
  <r>
    <x v="3"/>
    <s v="Angela Horne"/>
    <s v="Angela"/>
    <s v="Horne"/>
    <n v="49"/>
    <x v="2"/>
    <x v="0"/>
    <s v="angela.horne@outlook.com"/>
    <s v="USNV Mueller, FPO AP 54648"/>
    <s v="OID8114"/>
    <x v="184"/>
    <s v="10:24:24"/>
    <x v="22"/>
    <n v="158.53"/>
    <n v="5"/>
    <x v="0"/>
    <s v="8%"/>
    <n v="2"/>
    <x v="1"/>
    <n v="64"/>
    <d v="2024-10-17T00:00:00"/>
    <n v="4"/>
    <s v="20:08:57"/>
    <n v="68.531999999999925"/>
    <n v="792.65"/>
    <n v="856.65"/>
    <n v="788.11800000000005"/>
  </r>
  <r>
    <x v="18"/>
    <s v="Christian Clayton"/>
    <s v="Christian"/>
    <s v="Clayton"/>
    <n v="39"/>
    <x v="1"/>
    <x v="5"/>
    <s v="christian.clayton@yahoo.com"/>
    <s v="065 Madison Way, Smithstad, CT 68011"/>
    <s v="OID9805"/>
    <x v="185"/>
    <s v="23:35:16"/>
    <x v="5"/>
    <n v="363.64"/>
    <n v="2"/>
    <x v="3"/>
    <s v="20%"/>
    <n v="6"/>
    <x v="0"/>
    <n v="37"/>
    <d v="2024-09-09T00:00:00"/>
    <n v="3"/>
    <s v="01:46:46"/>
    <n v="152.85599999999999"/>
    <n v="727.28"/>
    <n v="764.28"/>
    <n v="611.42399999999998"/>
  </r>
  <r>
    <x v="30"/>
    <s v="Julie Meyer"/>
    <s v="Julie"/>
    <s v="Meyer"/>
    <n v="23"/>
    <x v="0"/>
    <x v="0"/>
    <s v="julie.meyer@yahoo.com"/>
    <s v="17381 Smith Ramp Suite 398, Courtneyville, AL 17756"/>
    <s v="OID7003"/>
    <x v="86"/>
    <s v="04:53:37"/>
    <x v="34"/>
    <n v="136.30000000000001"/>
    <n v="2"/>
    <x v="4"/>
    <s v="10%"/>
    <n v="3"/>
    <x v="1"/>
    <n v="47"/>
    <d v="2024-08-07T00:00:00"/>
    <n v="7"/>
    <s v="07:56:46"/>
    <n v="31.95999999999998"/>
    <n v="272.60000000000002"/>
    <n v="319.60000000000002"/>
    <n v="287.64000000000004"/>
  </r>
  <r>
    <x v="78"/>
    <s v="Mark Summers"/>
    <s v="Mark"/>
    <s v="Summers"/>
    <n v="55"/>
    <x v="1"/>
    <x v="5"/>
    <s v="mark.summers@outlook.com"/>
    <s v="08413 Lynch Parkway, Calderonstad, NV 32697"/>
    <s v="OID5372"/>
    <x v="186"/>
    <s v="21:25:23"/>
    <x v="30"/>
    <n v="369.03"/>
    <n v="3"/>
    <x v="3"/>
    <s v="20%"/>
    <n v="2"/>
    <x v="1"/>
    <n v="65"/>
    <d v="2024-04-30T00:00:00"/>
    <n v="4"/>
    <s v="15:58:45"/>
    <n v="234.41799999999989"/>
    <n v="1107.0899999999999"/>
    <n v="1172.0899999999999"/>
    <n v="937.67200000000003"/>
  </r>
  <r>
    <x v="23"/>
    <s v="Taylor Davis"/>
    <s v="Taylor"/>
    <s v="Davis"/>
    <n v="54"/>
    <x v="1"/>
    <x v="0"/>
    <s v="taylor.davis@yahoo.com"/>
    <s v="USCGC Simmons, FPO AA 60167"/>
    <s v="OID4097"/>
    <x v="187"/>
    <s v="18:03:08"/>
    <x v="45"/>
    <n v="381.73"/>
    <n v="2"/>
    <x v="1"/>
    <s v="15%"/>
    <n v="3"/>
    <x v="1"/>
    <n v="70"/>
    <d v="2023-07-05T00:00:00"/>
    <n v="7"/>
    <s v="10:45:58"/>
    <n v="125.01900000000001"/>
    <n v="763.46"/>
    <n v="833.46"/>
    <n v="708.44100000000003"/>
  </r>
  <r>
    <x v="59"/>
    <s v="Beth Mason"/>
    <s v="Beth"/>
    <s v="Mason"/>
    <n v="45"/>
    <x v="2"/>
    <x v="3"/>
    <s v="beth.mason@outlook.com"/>
    <s v="58998 Sherry Haven, East Richard, FL 90775"/>
    <s v="OID7090"/>
    <x v="131"/>
    <s v="02:55:39"/>
    <x v="33"/>
    <n v="421.7"/>
    <n v="3"/>
    <x v="4"/>
    <s v="10%"/>
    <n v="6"/>
    <x v="0"/>
    <n v="38"/>
    <d v="2025-01-23T00:00:00"/>
    <n v="3"/>
    <s v="13:12:04"/>
    <n v="130.30999999999995"/>
    <n v="1265.0999999999999"/>
    <n v="1303.0999999999999"/>
    <n v="1172.79"/>
  </r>
  <r>
    <x v="78"/>
    <s v="Mark Summers"/>
    <s v="Mark"/>
    <s v="Summers"/>
    <n v="55"/>
    <x v="1"/>
    <x v="5"/>
    <s v="mark.summers@outlook.com"/>
    <s v="08413 Lynch Parkway, Calderonstad, NV 32697"/>
    <s v="OID8741"/>
    <x v="112"/>
    <s v="23:25:51"/>
    <x v="4"/>
    <n v="330.11"/>
    <n v="3"/>
    <x v="0"/>
    <s v="8%"/>
    <n v="2"/>
    <x v="1"/>
    <n v="40"/>
    <d v="2023-09-22T00:00:00"/>
    <n v="5"/>
    <s v="09:03:16"/>
    <n v="82.426399999999944"/>
    <n v="990.33"/>
    <n v="1030.33"/>
    <n v="947.90359999999998"/>
  </r>
  <r>
    <x v="27"/>
    <s v="Valerie Carr"/>
    <s v="Valerie"/>
    <s v="Carr"/>
    <n v="26"/>
    <x v="2"/>
    <x v="6"/>
    <s v="valerie.carr@rediffmail.com"/>
    <s v="981 Emily Stream, South Brianna, CO 98063"/>
    <s v="OID6002"/>
    <x v="127"/>
    <s v="05:28:12"/>
    <x v="26"/>
    <n v="372.62"/>
    <n v="1"/>
    <x v="4"/>
    <s v="10%"/>
    <n v="4"/>
    <x v="2"/>
    <n v="36"/>
    <d v="2024-09-06T00:00:00"/>
    <n v="4"/>
    <s v="09:29:13"/>
    <n v="40.861999999999966"/>
    <n v="372.62"/>
    <n v="408.62"/>
    <n v="367.75800000000004"/>
  </r>
  <r>
    <x v="79"/>
    <s v="Gary Huff"/>
    <s v="Gary"/>
    <s v="Huff"/>
    <n v="18"/>
    <x v="0"/>
    <x v="2"/>
    <s v="gary.huff@gmail.com"/>
    <s v="58608 Alexander Terrace, South Bryan, SC 85541"/>
    <s v="OID8585"/>
    <x v="188"/>
    <s v="16:44:13"/>
    <x v="24"/>
    <n v="481.48"/>
    <n v="3"/>
    <x v="4"/>
    <s v="10%"/>
    <n v="2"/>
    <x v="1"/>
    <n v="42"/>
    <d v="2023-10-22T00:00:00"/>
    <n v="4"/>
    <s v="23:19:19"/>
    <n v="148.64400000000001"/>
    <n v="1444.44"/>
    <n v="1486.44"/>
    <n v="1337.796"/>
  </r>
  <r>
    <x v="15"/>
    <s v="Mallory Mitchell"/>
    <s v="Mallory"/>
    <s v="Mitchell"/>
    <n v="42"/>
    <x v="1"/>
    <x v="6"/>
    <s v="mallory.mitchell@yahoo.com"/>
    <s v="710 Anthony Wall Suite 137, East Davidstad, NV 61494"/>
    <s v="OID6767"/>
    <x v="84"/>
    <s v="17:52:44"/>
    <x v="0"/>
    <n v="308.88"/>
    <n v="1"/>
    <x v="1"/>
    <s v="15%"/>
    <n v="3"/>
    <x v="0"/>
    <n v="54"/>
    <d v="2024-09-21T00:00:00"/>
    <n v="1"/>
    <s v="14:18:48"/>
    <n v="54.432000000000016"/>
    <n v="308.88"/>
    <n v="362.88"/>
    <n v="308.44799999999998"/>
  </r>
  <r>
    <x v="0"/>
    <s v="Anne Oconnell"/>
    <s v="Anne"/>
    <s v="Oconnell"/>
    <n v="37"/>
    <x v="0"/>
    <x v="0"/>
    <s v="anne.oconnell@outlook.com"/>
    <s v="2850 Matthew Ford, North Yolandachester, FL 67488"/>
    <s v="OID4369"/>
    <x v="189"/>
    <s v="22:31:31"/>
    <x v="16"/>
    <n v="132.97"/>
    <n v="4"/>
    <x v="4"/>
    <s v="10%"/>
    <n v="3"/>
    <x v="0"/>
    <n v="43"/>
    <d v="2023-08-25T00:00:00"/>
    <n v="1"/>
    <s v="17:01:58"/>
    <n v="57.487999999999943"/>
    <n v="531.88"/>
    <n v="574.88"/>
    <n v="517.39200000000005"/>
  </r>
  <r>
    <x v="20"/>
    <s v="John Herrera"/>
    <s v="John"/>
    <s v="Herrera"/>
    <n v="64"/>
    <x v="1"/>
    <x v="1"/>
    <s v="john.herrera@outlook.com"/>
    <s v="61263 Jacob Isle, Amandatown, TN 34321"/>
    <s v="OID5283"/>
    <x v="87"/>
    <s v="18:43:17"/>
    <x v="26"/>
    <n v="372.62"/>
    <n v="4"/>
    <x v="0"/>
    <s v="8%"/>
    <n v="1"/>
    <x v="1"/>
    <n v="45"/>
    <d v="2024-07-19T00:00:00"/>
    <n v="4"/>
    <s v="07:02:28"/>
    <n v="122.83839999999987"/>
    <n v="1490.48"/>
    <n v="1535.48"/>
    <n v="1412.6416000000002"/>
  </r>
  <r>
    <x v="44"/>
    <s v="Lori Cook"/>
    <s v="Lori"/>
    <s v="Cook"/>
    <n v="18"/>
    <x v="1"/>
    <x v="1"/>
    <s v="lori.cook@rediffmail.com"/>
    <s v="86837 Bell Meadows, North Jasonshire, UT 51354"/>
    <s v="OID2949"/>
    <x v="190"/>
    <s v="09:55:21"/>
    <x v="17"/>
    <n v="126.19"/>
    <n v="5"/>
    <x v="4"/>
    <s v="10%"/>
    <n v="4"/>
    <x v="1"/>
    <n v="47"/>
    <d v="2023-12-20T00:00:00"/>
    <n v="7"/>
    <s v="22:38:31"/>
    <n v="67.794999999999959"/>
    <n v="630.95000000000005"/>
    <n v="677.95"/>
    <n v="610.15500000000009"/>
  </r>
  <r>
    <x v="79"/>
    <s v="Gary Huff"/>
    <s v="Gary"/>
    <s v="Huff"/>
    <n v="18"/>
    <x v="0"/>
    <x v="2"/>
    <s v="gary.huff@gmail.com"/>
    <s v="58608 Alexander Terrace, South Bryan, SC 85541"/>
    <s v="OID1071"/>
    <x v="191"/>
    <s v="06:47:14"/>
    <x v="39"/>
    <n v="403.03"/>
    <n v="2"/>
    <x v="1"/>
    <s v="15%"/>
    <n v="7"/>
    <x v="0"/>
    <n v="45"/>
    <d v="2023-07-11T00:00:00"/>
    <n v="1"/>
    <s v="05:46:18"/>
    <n v="127.65899999999999"/>
    <n v="806.06"/>
    <n v="851.06"/>
    <n v="723.40099999999995"/>
  </r>
  <r>
    <x v="79"/>
    <s v="Gary Huff"/>
    <s v="Gary"/>
    <s v="Huff"/>
    <n v="18"/>
    <x v="0"/>
    <x v="2"/>
    <s v="gary.huff@gmail.com"/>
    <s v="58608 Alexander Terrace, South Bryan, SC 85541"/>
    <s v="OID7412"/>
    <x v="192"/>
    <s v="22:41:22"/>
    <x v="21"/>
    <n v="157.63999999999999"/>
    <n v="2"/>
    <x v="1"/>
    <s v="15%"/>
    <n v="5"/>
    <x v="0"/>
    <n v="64"/>
    <d v="2024-04-13T00:00:00"/>
    <n v="3"/>
    <s v="03:01:00"/>
    <n v="56.891999999999996"/>
    <n v="315.27999999999997"/>
    <n v="379.28"/>
    <n v="322.38799999999998"/>
  </r>
  <r>
    <x v="80"/>
    <s v="Mike Carter"/>
    <s v="Mike"/>
    <s v="Carter"/>
    <n v="59"/>
    <x v="2"/>
    <x v="6"/>
    <s v="mike.carter@rediffmail.com"/>
    <s v="3971 Ortiz Fields, Lake Jackfort, IA 97132"/>
    <s v="OID6541"/>
    <x v="135"/>
    <s v="08:35:05"/>
    <x v="19"/>
    <n v="128.13999999999999"/>
    <n v="1"/>
    <x v="4"/>
    <s v="10%"/>
    <n v="7"/>
    <x v="0"/>
    <n v="52"/>
    <d v="2023-11-24T00:00:00"/>
    <n v="3"/>
    <s v="09:50:44"/>
    <n v="18.013999999999982"/>
    <n v="128.13999999999999"/>
    <n v="180.14"/>
    <n v="162.126"/>
  </r>
  <r>
    <x v="24"/>
    <s v="Lauren Long"/>
    <s v="Lauren"/>
    <s v="Long"/>
    <n v="44"/>
    <x v="0"/>
    <x v="7"/>
    <s v="lauren.long@gmail.com"/>
    <s v="258 Michael Brooks Suite 363, Arnoldview, PA 49438"/>
    <s v="OID3550"/>
    <x v="193"/>
    <s v="06:30:57"/>
    <x v="8"/>
    <n v="257.06"/>
    <n v="3"/>
    <x v="2"/>
    <s v="0 delivery charge"/>
    <n v="5"/>
    <x v="1"/>
    <n v="63"/>
    <d v="2024-03-03T00:00:00"/>
    <n v="6"/>
    <s v="08:01:14"/>
    <n v="63"/>
    <n v="771.18000000000006"/>
    <n v="834.18000000000006"/>
    <n v="771.18000000000006"/>
  </r>
  <r>
    <x v="53"/>
    <s v="Jodi Whitney"/>
    <s v="Jodi"/>
    <s v="Whitney"/>
    <n v="33"/>
    <x v="2"/>
    <x v="6"/>
    <s v="jodi.whitney@yahoo.com"/>
    <s v="72876 Lara Key Suite 383, Gutierrezton, OR 71683"/>
    <s v="OID7812"/>
    <x v="194"/>
    <s v="09:01:24"/>
    <x v="12"/>
    <n v="272.51"/>
    <n v="2"/>
    <x v="4"/>
    <s v="10%"/>
    <n v="4"/>
    <x v="1"/>
    <n v="48"/>
    <d v="2023-12-04T00:00:00"/>
    <n v="7"/>
    <s v="18:41:50"/>
    <n v="59.302000000000021"/>
    <n v="545.02"/>
    <n v="593.02"/>
    <n v="533.71799999999996"/>
  </r>
  <r>
    <x v="24"/>
    <s v="Lauren Long"/>
    <s v="Lauren"/>
    <s v="Long"/>
    <n v="44"/>
    <x v="0"/>
    <x v="7"/>
    <s v="lauren.long@gmail.com"/>
    <s v="258 Michael Brooks Suite 363, Arnoldview, PA 49438"/>
    <s v="OID4101"/>
    <x v="195"/>
    <s v="10:38:44"/>
    <x v="5"/>
    <n v="363.64"/>
    <n v="3"/>
    <x v="1"/>
    <s v="15%"/>
    <n v="1"/>
    <x v="1"/>
    <n v="47"/>
    <d v="2024-04-13T00:00:00"/>
    <n v="5"/>
    <s v="15:48:50"/>
    <n v="170.68799999999999"/>
    <n v="1090.92"/>
    <n v="1137.92"/>
    <n v="967.23200000000008"/>
  </r>
  <r>
    <x v="55"/>
    <s v="William Mann"/>
    <s v="William"/>
    <s v="Mann"/>
    <n v="21"/>
    <x v="0"/>
    <x v="1"/>
    <s v="william.mann@yahoo.com"/>
    <s v="849 Tran Wells, New Lindsayville, WI 22669"/>
    <s v="OID2704"/>
    <x v="184"/>
    <s v="08:44:39"/>
    <x v="5"/>
    <n v="363.64"/>
    <n v="3"/>
    <x v="3"/>
    <s v="20%"/>
    <n v="6"/>
    <x v="1"/>
    <n v="64"/>
    <d v="2024-10-20T00:00:00"/>
    <n v="7"/>
    <s v="13:35:45"/>
    <n v="230.98399999999992"/>
    <n v="1090.92"/>
    <n v="1154.92"/>
    <n v="923.93600000000015"/>
  </r>
  <r>
    <x v="58"/>
    <s v="Amy Ellis"/>
    <s v="Amy"/>
    <s v="Ellis"/>
    <n v="44"/>
    <x v="2"/>
    <x v="3"/>
    <s v="amy.ellis@gmail.com"/>
    <s v="217 Scott Ville, Christophermouth, NH 83776"/>
    <s v="OID3902"/>
    <x v="196"/>
    <s v="10:10:51"/>
    <x v="42"/>
    <n v="235.63"/>
    <n v="5"/>
    <x v="3"/>
    <s v="20%"/>
    <n v="6"/>
    <x v="0"/>
    <n v="63"/>
    <d v="2023-07-07T00:00:00"/>
    <n v="5"/>
    <s v="02:58:17"/>
    <n v="248.23000000000002"/>
    <n v="1178.1500000000001"/>
    <n v="1241.1500000000001"/>
    <n v="992.92000000000007"/>
  </r>
  <r>
    <x v="81"/>
    <s v="Thomas Owens"/>
    <s v="Thomas"/>
    <s v="Owens"/>
    <n v="34"/>
    <x v="2"/>
    <x v="7"/>
    <s v="thomas.owens@outlook.com"/>
    <s v="43920 Shaffer Valley Suite 531, South Jerry, MD 67120"/>
    <s v="OID6097"/>
    <x v="81"/>
    <s v="06:46:28"/>
    <x v="37"/>
    <n v="133.62"/>
    <n v="1"/>
    <x v="0"/>
    <s v="8%"/>
    <n v="1"/>
    <x v="1"/>
    <n v="57"/>
    <d v="2024-11-06T00:00:00"/>
    <n v="7"/>
    <s v="11:47:41"/>
    <n v="15.249599999999987"/>
    <n v="133.62"/>
    <n v="190.62"/>
    <n v="175.37040000000002"/>
  </r>
  <r>
    <x v="26"/>
    <s v="Heather Schneider"/>
    <s v="Heather"/>
    <s v="Schneider"/>
    <n v="48"/>
    <x v="1"/>
    <x v="3"/>
    <s v="heather.schneider@outlook.com"/>
    <s v="57940 Susan Creek Apt. 541, Port Aliciamouth, OR 90221"/>
    <s v="OID2270"/>
    <x v="197"/>
    <s v="22:27:32"/>
    <x v="18"/>
    <n v="282.63"/>
    <n v="4"/>
    <x v="4"/>
    <s v="10%"/>
    <n v="1"/>
    <x v="1"/>
    <n v="60"/>
    <d v="2024-11-22T00:00:00"/>
    <n v="2"/>
    <s v="22:31:13"/>
    <n v="119.05199999999991"/>
    <n v="1130.52"/>
    <n v="1190.52"/>
    <n v="1071.4680000000001"/>
  </r>
  <r>
    <x v="28"/>
    <s v="Jenny Estrada"/>
    <s v="Jenny"/>
    <s v="Estrada"/>
    <n v="45"/>
    <x v="0"/>
    <x v="1"/>
    <s v="jenny.estrada@yahoo.com"/>
    <s v="792 Carlos Islands, West David, CT 16522"/>
    <s v="OID4575"/>
    <x v="183"/>
    <s v="18:42:20"/>
    <x v="1"/>
    <n v="166.28"/>
    <n v="3"/>
    <x v="4"/>
    <s v="10%"/>
    <n v="6"/>
    <x v="0"/>
    <n v="59"/>
    <d v="2023-12-15T00:00:00"/>
    <n v="4"/>
    <s v="00:21:21"/>
    <n v="55.783999999999992"/>
    <n v="498.84000000000003"/>
    <n v="557.84"/>
    <n v="502.05600000000004"/>
  </r>
  <r>
    <x v="69"/>
    <s v="Lindsey Byrd"/>
    <s v="Lindsey"/>
    <s v="Byrd"/>
    <n v="32"/>
    <x v="0"/>
    <x v="5"/>
    <s v="lindsey.byrd@rediffmail.com"/>
    <s v="USCGC Harper, FPO AA 38349"/>
    <s v="OID2338"/>
    <x v="191"/>
    <s v="22:07:35"/>
    <x v="36"/>
    <n v="425.59"/>
    <n v="5"/>
    <x v="0"/>
    <s v="8%"/>
    <n v="7"/>
    <x v="2"/>
    <n v="57"/>
    <d v="2023-07-17T00:00:00"/>
    <n v="7"/>
    <s v="03:39:43"/>
    <n v="174.79599999999982"/>
    <n v="2127.9499999999998"/>
    <n v="2184.9499999999998"/>
    <n v="2010.154"/>
  </r>
  <r>
    <x v="46"/>
    <s v="Brittany Stewart"/>
    <s v="Brittany"/>
    <s v="Stewart"/>
    <n v="68"/>
    <x v="2"/>
    <x v="7"/>
    <s v="brittany.stewart@gmail.com"/>
    <s v="6250 David Loaf Suite 561, North Pamelaberg, WV 63652"/>
    <s v="OID9816"/>
    <x v="198"/>
    <s v="07:28:42"/>
    <x v="5"/>
    <n v="363.64"/>
    <n v="5"/>
    <x v="4"/>
    <s v="10%"/>
    <n v="7"/>
    <x v="0"/>
    <n v="60"/>
    <d v="2024-05-07T00:00:00"/>
    <n v="2"/>
    <s v="12:34:57"/>
    <n v="187.81999999999994"/>
    <n v="1818.1999999999998"/>
    <n v="1878.1999999999998"/>
    <n v="1690.3799999999999"/>
  </r>
  <r>
    <x v="82"/>
    <s v="Brendan Kelly"/>
    <s v="Brendan"/>
    <s v="Kelly"/>
    <n v="50"/>
    <x v="2"/>
    <x v="6"/>
    <s v="brendan.kelly@rediffmail.com"/>
    <s v="688 Donald Oval Suite 089, Shepardport, CA 50844"/>
    <s v="OID1586"/>
    <x v="199"/>
    <s v="14:01:51"/>
    <x v="39"/>
    <n v="403.03"/>
    <n v="5"/>
    <x v="3"/>
    <s v="20%"/>
    <n v="2"/>
    <x v="1"/>
    <n v="52"/>
    <d v="2024-07-02T00:00:00"/>
    <n v="5"/>
    <s v="23:41:13"/>
    <n v="413.42999999999984"/>
    <n v="2015.1499999999999"/>
    <n v="2067.1499999999996"/>
    <n v="1653.7199999999998"/>
  </r>
  <r>
    <x v="50"/>
    <s v="Katherine Weber"/>
    <s v="Katherine"/>
    <s v="Weber"/>
    <n v="42"/>
    <x v="2"/>
    <x v="2"/>
    <s v="katherine.weber@outlook.com"/>
    <s v="04887 Kimberly Union Apt. 645, Port Laura, IL 97219"/>
    <s v="OID9630"/>
    <x v="200"/>
    <s v="20:50:23"/>
    <x v="30"/>
    <n v="369.03"/>
    <n v="1"/>
    <x v="3"/>
    <s v="20%"/>
    <n v="6"/>
    <x v="2"/>
    <n v="38"/>
    <d v="2023-02-17T00:00:00"/>
    <n v="6"/>
    <s v="01:51:44"/>
    <n v="81.405999999999949"/>
    <n v="369.03"/>
    <n v="407.03"/>
    <n v="325.62400000000002"/>
  </r>
  <r>
    <x v="83"/>
    <s v="Jessica Ruiz"/>
    <s v="Jessica"/>
    <s v="Ruiz"/>
    <n v="19"/>
    <x v="1"/>
    <x v="2"/>
    <s v="jessica.ruiz@rediffmail.com"/>
    <s v="02370 Laura Station Suite 309, Brandonville, DE 18875"/>
    <s v="OID8034"/>
    <x v="201"/>
    <s v="08:30:48"/>
    <x v="33"/>
    <n v="421.7"/>
    <n v="5"/>
    <x v="4"/>
    <s v="10%"/>
    <n v="6"/>
    <x v="0"/>
    <n v="61"/>
    <d v="2024-06-14T00:00:00"/>
    <n v="4"/>
    <s v="01:26:28"/>
    <n v="216.95000000000005"/>
    <n v="2108.5"/>
    <n v="2169.5"/>
    <n v="1952.55"/>
  </r>
  <r>
    <x v="78"/>
    <s v="Mark Summers"/>
    <s v="Mark"/>
    <s v="Summers"/>
    <n v="55"/>
    <x v="1"/>
    <x v="5"/>
    <s v="mark.summers@outlook.com"/>
    <s v="08413 Lynch Parkway, Calderonstad, NV 32697"/>
    <s v="OID4815"/>
    <x v="202"/>
    <s v="05:34:02"/>
    <x v="45"/>
    <n v="381.73"/>
    <n v="4"/>
    <x v="0"/>
    <s v="8%"/>
    <n v="2"/>
    <x v="1"/>
    <n v="58"/>
    <d v="2024-11-17T00:00:00"/>
    <n v="5"/>
    <s v="15:11:50"/>
    <n v="126.79359999999997"/>
    <n v="1526.92"/>
    <n v="1584.92"/>
    <n v="1458.1264000000001"/>
  </r>
  <r>
    <x v="65"/>
    <s v="Lisa Miller"/>
    <s v="Lisa"/>
    <s v="Miller"/>
    <n v="70"/>
    <x v="1"/>
    <x v="3"/>
    <s v="lisa.miller@gmail.com"/>
    <s v="89748 Campbell Drive, South Tannerland, WI 13143"/>
    <s v="OID1898"/>
    <x v="203"/>
    <s v="22:30:30"/>
    <x v="9"/>
    <n v="175.93"/>
    <n v="2"/>
    <x v="4"/>
    <s v="10%"/>
    <n v="7"/>
    <x v="0"/>
    <n v="61"/>
    <d v="2024-04-09T00:00:00"/>
    <n v="5"/>
    <s v="23:12:23"/>
    <n v="41.286000000000001"/>
    <n v="351.86"/>
    <n v="412.86"/>
    <n v="371.57400000000001"/>
  </r>
  <r>
    <x v="38"/>
    <s v="John Ramirez"/>
    <s v="John"/>
    <s v="Ramirez"/>
    <n v="28"/>
    <x v="2"/>
    <x v="4"/>
    <s v="john.ramirez@outlook.com"/>
    <s v="02797 Martin Landing, South Michelle, VT 98781"/>
    <s v="OID7454"/>
    <x v="65"/>
    <s v="06:13:30"/>
    <x v="45"/>
    <n v="381.73"/>
    <n v="2"/>
    <x v="1"/>
    <s v="15%"/>
    <n v="2"/>
    <x v="1"/>
    <n v="68"/>
    <d v="2024-02-07T00:00:00"/>
    <n v="7"/>
    <s v="00:33:32"/>
    <n v="124.71900000000005"/>
    <n v="763.46"/>
    <n v="831.46"/>
    <n v="706.74099999999999"/>
  </r>
  <r>
    <x v="84"/>
    <s v="Hannah Gutierrez"/>
    <s v="Hannah"/>
    <s v="Gutierrez"/>
    <n v="55"/>
    <x v="1"/>
    <x v="5"/>
    <s v="hannah.gutierrez@yahoo.com"/>
    <s v="2420 David Manors, Jessicaland, CT 41698"/>
    <s v="OID2597"/>
    <x v="199"/>
    <s v="14:11:09"/>
    <x v="35"/>
    <n v="441.03"/>
    <n v="3"/>
    <x v="2"/>
    <s v="0 delivery charge"/>
    <n v="4"/>
    <x v="0"/>
    <n v="47"/>
    <d v="2024-06-30T00:00:00"/>
    <n v="3"/>
    <s v="00:33:26"/>
    <n v="47"/>
    <n v="1323.09"/>
    <n v="1370.09"/>
    <n v="1323.09"/>
  </r>
  <r>
    <x v="85"/>
    <s v="Angela Casey"/>
    <s v="Angela"/>
    <s v="Casey"/>
    <n v="40"/>
    <x v="0"/>
    <x v="2"/>
    <s v="angela.casey@gmail.com"/>
    <s v="089 Farley Terrace, Thomashaven, MT 56607"/>
    <s v="OID6600"/>
    <x v="204"/>
    <s v="22:46:20"/>
    <x v="34"/>
    <n v="136.30000000000001"/>
    <n v="2"/>
    <x v="0"/>
    <s v="8%"/>
    <n v="6"/>
    <x v="0"/>
    <n v="58"/>
    <d v="2024-08-29T00:00:00"/>
    <n v="2"/>
    <s v="15:31:26"/>
    <n v="26.447999999999979"/>
    <n v="272.60000000000002"/>
    <n v="330.6"/>
    <n v="304.15200000000004"/>
  </r>
  <r>
    <x v="53"/>
    <s v="Jodi Whitney"/>
    <s v="Jodi"/>
    <s v="Whitney"/>
    <n v="33"/>
    <x v="2"/>
    <x v="6"/>
    <s v="jodi.whitney@yahoo.com"/>
    <s v="72876 Lara Key Suite 383, Gutierrezton, OR 71683"/>
    <s v="OID3490"/>
    <x v="205"/>
    <s v="03:47:08"/>
    <x v="39"/>
    <n v="403.03"/>
    <n v="3"/>
    <x v="1"/>
    <s v="15%"/>
    <n v="5"/>
    <x v="0"/>
    <n v="44"/>
    <d v="2024-04-02T00:00:00"/>
    <n v="1"/>
    <s v="03:23:26"/>
    <n v="187.96350000000007"/>
    <n v="1209.0899999999999"/>
    <n v="1253.0899999999999"/>
    <n v="1065.1264999999999"/>
  </r>
  <r>
    <x v="76"/>
    <s v="Natasha Michael"/>
    <s v="Natasha"/>
    <s v="Michael"/>
    <n v="49"/>
    <x v="0"/>
    <x v="1"/>
    <s v="natasha.michael@gmail.com"/>
    <s v="78992 Justin Estates Suite 226, Floresberg, NM 40797"/>
    <s v="OID5561"/>
    <x v="206"/>
    <s v="07:21:30"/>
    <x v="45"/>
    <n v="381.73"/>
    <n v="5"/>
    <x v="0"/>
    <s v="8%"/>
    <n v="7"/>
    <x v="0"/>
    <n v="45"/>
    <d v="2023-11-06T00:00:00"/>
    <n v="3"/>
    <s v="09:57:13"/>
    <n v="156.29199999999992"/>
    <n v="1908.65"/>
    <n v="1953.65"/>
    <n v="1797.3580000000002"/>
  </r>
  <r>
    <x v="75"/>
    <s v="Rachael Robinson"/>
    <s v="Rachael"/>
    <s v="Robinson"/>
    <n v="24"/>
    <x v="2"/>
    <x v="7"/>
    <s v="rachael.robinson@rediffmail.com"/>
    <s v="0889 Brady Points, Port Meganhaven, NM 26553"/>
    <s v="OID8830"/>
    <x v="207"/>
    <s v="16:49:20"/>
    <x v="45"/>
    <n v="381.73"/>
    <n v="1"/>
    <x v="0"/>
    <s v="8%"/>
    <n v="3"/>
    <x v="1"/>
    <n v="36"/>
    <d v="2025-01-18T00:00:00"/>
    <n v="7"/>
    <s v="22:40:50"/>
    <n v="33.418399999999963"/>
    <n v="381.73"/>
    <n v="417.73"/>
    <n v="384.31160000000006"/>
  </r>
  <r>
    <x v="43"/>
    <s v="Rebecca Figueroa"/>
    <s v="Rebecca"/>
    <s v="Figueroa"/>
    <n v="63"/>
    <x v="0"/>
    <x v="4"/>
    <s v="rebecca.figueroa@outlook.com"/>
    <s v="3959 Bell Dale, North Jacob, LA 07934"/>
    <s v="OID9527"/>
    <x v="160"/>
    <s v="16:59:25"/>
    <x v="36"/>
    <n v="425.59"/>
    <n v="1"/>
    <x v="3"/>
    <s v="20%"/>
    <n v="7"/>
    <x v="0"/>
    <n v="40"/>
    <d v="2024-06-17T00:00:00"/>
    <n v="3"/>
    <s v="13:29:40"/>
    <n v="93.117999999999995"/>
    <n v="425.59"/>
    <n v="465.59"/>
    <n v="372.47199999999998"/>
  </r>
  <r>
    <x v="24"/>
    <s v="Lauren Long"/>
    <s v="Lauren"/>
    <s v="Long"/>
    <n v="44"/>
    <x v="0"/>
    <x v="7"/>
    <s v="lauren.long@gmail.com"/>
    <s v="258 Michael Brooks Suite 363, Arnoldview, PA 49438"/>
    <s v="OID1067"/>
    <x v="208"/>
    <s v="06:15:44"/>
    <x v="24"/>
    <n v="481.48"/>
    <n v="4"/>
    <x v="1"/>
    <s v="15%"/>
    <n v="4"/>
    <x v="1"/>
    <n v="67"/>
    <d v="2025-01-08T00:00:00"/>
    <n v="6"/>
    <s v="09:11:07"/>
    <n v="298.9380000000001"/>
    <n v="1925.92"/>
    <n v="1992.92"/>
    <n v="1693.982"/>
  </r>
  <r>
    <x v="12"/>
    <s v="Joshua Campbell"/>
    <s v="Joshua"/>
    <s v="Campbell"/>
    <n v="24"/>
    <x v="0"/>
    <x v="5"/>
    <s v="joshua.campbell@gmail.com"/>
    <s v="70426 Lindsey Overpass Apt. 030, Jessicafurt, AR 46269"/>
    <s v="OID2119"/>
    <x v="209"/>
    <s v="17:29:54"/>
    <x v="33"/>
    <n v="421.7"/>
    <n v="2"/>
    <x v="4"/>
    <s v="10%"/>
    <n v="2"/>
    <x v="2"/>
    <n v="54"/>
    <d v="2024-08-10T00:00:00"/>
    <n v="2"/>
    <s v="07:27:00"/>
    <n v="89.740000000000009"/>
    <n v="843.4"/>
    <n v="897.4"/>
    <n v="807.66"/>
  </r>
  <r>
    <x v="27"/>
    <s v="Valerie Carr"/>
    <s v="Valerie"/>
    <s v="Carr"/>
    <n v="26"/>
    <x v="2"/>
    <x v="6"/>
    <s v="valerie.carr@rediffmail.com"/>
    <s v="981 Emily Stream, South Brianna, CO 98063"/>
    <s v="OID5802"/>
    <x v="210"/>
    <s v="05:25:01"/>
    <x v="44"/>
    <n v="110.95"/>
    <n v="3"/>
    <x v="2"/>
    <s v="0 delivery charge"/>
    <n v="5"/>
    <x v="1"/>
    <n v="47"/>
    <d v="2024-04-17T00:00:00"/>
    <n v="6"/>
    <s v="02:19:52"/>
    <n v="47"/>
    <n v="332.85"/>
    <n v="379.85"/>
    <n v="332.85"/>
  </r>
  <r>
    <x v="49"/>
    <s v="Sarah Butler"/>
    <s v="Sarah"/>
    <s v="Butler"/>
    <n v="64"/>
    <x v="0"/>
    <x v="0"/>
    <s v="sarah.butler@rediffmail.com"/>
    <s v="14131 Edwin Shore Apt. 190, Deniseberg, MD 90905"/>
    <s v="OID4569"/>
    <x v="211"/>
    <s v="00:49:15"/>
    <x v="18"/>
    <n v="282.63"/>
    <n v="4"/>
    <x v="4"/>
    <s v="10%"/>
    <n v="3"/>
    <x v="2"/>
    <n v="52"/>
    <d v="2023-09-22T00:00:00"/>
    <n v="3"/>
    <s v="07:05:22"/>
    <n v="118.25199999999995"/>
    <n v="1130.52"/>
    <n v="1182.52"/>
    <n v="1064.268"/>
  </r>
  <r>
    <x v="73"/>
    <s v="Susan Thompson"/>
    <s v="Susan"/>
    <s v="Thompson"/>
    <n v="37"/>
    <x v="2"/>
    <x v="7"/>
    <s v="susan.thompson@outlook.com"/>
    <s v="47821 William Station, East Ashleymouth, FL 20562"/>
    <s v="OID1508"/>
    <x v="111"/>
    <s v="10:13:34"/>
    <x v="22"/>
    <n v="158.53"/>
    <n v="3"/>
    <x v="4"/>
    <s v="10%"/>
    <n v="3"/>
    <x v="0"/>
    <n v="63"/>
    <d v="2024-02-14T00:00:00"/>
    <n v="1"/>
    <s v="00:06:39"/>
    <n v="53.85899999999998"/>
    <n v="475.59000000000003"/>
    <n v="538.59"/>
    <n v="484.73100000000005"/>
  </r>
  <r>
    <x v="78"/>
    <s v="Mark Summers"/>
    <s v="Mark"/>
    <s v="Summers"/>
    <n v="55"/>
    <x v="1"/>
    <x v="5"/>
    <s v="mark.summers@outlook.com"/>
    <s v="08413 Lynch Parkway, Calderonstad, NV 32697"/>
    <s v="OID3969"/>
    <x v="212"/>
    <s v="22:48:36"/>
    <x v="20"/>
    <n v="62.42"/>
    <n v="3"/>
    <x v="0"/>
    <s v="8%"/>
    <n v="3"/>
    <x v="1"/>
    <n v="37"/>
    <d v="2023-04-15T00:00:00"/>
    <n v="5"/>
    <s v="11:30:05"/>
    <n v="17.940799999999996"/>
    <n v="187.26"/>
    <n v="224.26"/>
    <n v="206.3192"/>
  </r>
  <r>
    <x v="27"/>
    <s v="Valerie Carr"/>
    <s v="Valerie"/>
    <s v="Carr"/>
    <n v="26"/>
    <x v="2"/>
    <x v="6"/>
    <s v="valerie.carr@rediffmail.com"/>
    <s v="981 Emily Stream, South Brianna, CO 98063"/>
    <s v="OID8974"/>
    <x v="213"/>
    <s v="03:37:20"/>
    <x v="42"/>
    <n v="235.63"/>
    <n v="2"/>
    <x v="1"/>
    <s v="15%"/>
    <n v="4"/>
    <x v="2"/>
    <n v="44"/>
    <d v="2024-06-15T00:00:00"/>
    <n v="4"/>
    <s v="08:01:11"/>
    <n v="77.288999999999987"/>
    <n v="471.26"/>
    <n v="515.26"/>
    <n v="437.971"/>
  </r>
  <r>
    <x v="24"/>
    <s v="Lauren Long"/>
    <s v="Lauren"/>
    <s v="Long"/>
    <n v="44"/>
    <x v="0"/>
    <x v="7"/>
    <s v="lauren.long@gmail.com"/>
    <s v="258 Michael Brooks Suite 363, Arnoldview, PA 49438"/>
    <s v="OID6987"/>
    <x v="214"/>
    <s v="23:47:53"/>
    <x v="21"/>
    <n v="157.63999999999999"/>
    <n v="2"/>
    <x v="0"/>
    <s v="8%"/>
    <n v="1"/>
    <x v="1"/>
    <n v="56"/>
    <d v="2024-09-17T00:00:00"/>
    <n v="5"/>
    <s v="00:49:45"/>
    <n v="29.702399999999955"/>
    <n v="315.27999999999997"/>
    <n v="371.28"/>
    <n v="341.57760000000002"/>
  </r>
  <r>
    <x v="22"/>
    <s v="Ashley Rose"/>
    <s v="Ashley"/>
    <s v="Rose"/>
    <n v="60"/>
    <x v="2"/>
    <x v="0"/>
    <s v="ashley.rose@gmail.com"/>
    <s v="424 Nichols Curve Suite 177, Lake Brianview, TX 17289"/>
    <s v="OID5834"/>
    <x v="215"/>
    <s v="15:54:45"/>
    <x v="26"/>
    <n v="372.62"/>
    <n v="4"/>
    <x v="1"/>
    <s v="15%"/>
    <n v="2"/>
    <x v="1"/>
    <n v="42"/>
    <d v="2023-03-16T00:00:00"/>
    <n v="5"/>
    <s v="19:22:50"/>
    <n v="229.87200000000007"/>
    <n v="1490.48"/>
    <n v="1532.48"/>
    <n v="1302.6079999999999"/>
  </r>
  <r>
    <x v="82"/>
    <s v="Brendan Kelly"/>
    <s v="Brendan"/>
    <s v="Kelly"/>
    <n v="50"/>
    <x v="2"/>
    <x v="6"/>
    <s v="brendan.kelly@rediffmail.com"/>
    <s v="688 Donald Oval Suite 089, Shepardport, CA 50844"/>
    <s v="OID3980"/>
    <x v="216"/>
    <s v="21:10:06"/>
    <x v="39"/>
    <n v="403.03"/>
    <n v="2"/>
    <x v="3"/>
    <s v="20%"/>
    <n v="3"/>
    <x v="1"/>
    <n v="61"/>
    <d v="2025-01-20T00:00:00"/>
    <n v="5"/>
    <s v="08:42:57"/>
    <n v="173.41199999999992"/>
    <n v="806.06"/>
    <n v="867.06"/>
    <n v="693.64800000000002"/>
  </r>
  <r>
    <x v="18"/>
    <s v="Christian Clayton"/>
    <s v="Christian"/>
    <s v="Clayton"/>
    <n v="39"/>
    <x v="1"/>
    <x v="5"/>
    <s v="christian.clayton@yahoo.com"/>
    <s v="065 Madison Way, Smithstad, CT 68011"/>
    <s v="OID9700"/>
    <x v="217"/>
    <s v="17:39:16"/>
    <x v="14"/>
    <n v="20.7"/>
    <n v="3"/>
    <x v="2"/>
    <s v="0 delivery charge"/>
    <n v="1"/>
    <x v="1"/>
    <n v="67"/>
    <d v="2024-03-21T00:00:00"/>
    <n v="6"/>
    <s v="05:28:25"/>
    <n v="67"/>
    <n v="62.099999999999994"/>
    <n v="129.1"/>
    <n v="62.099999999999994"/>
  </r>
  <r>
    <x v="15"/>
    <s v="Mallory Mitchell"/>
    <s v="Mallory"/>
    <s v="Mitchell"/>
    <n v="42"/>
    <x v="1"/>
    <x v="6"/>
    <s v="mallory.mitchell@yahoo.com"/>
    <s v="710 Anthony Wall Suite 137, East Davidstad, NV 61494"/>
    <s v="OID1135"/>
    <x v="185"/>
    <s v="21:59:14"/>
    <x v="34"/>
    <n v="136.30000000000001"/>
    <n v="2"/>
    <x v="3"/>
    <s v="20%"/>
    <n v="2"/>
    <x v="1"/>
    <n v="45"/>
    <d v="2024-09-11T00:00:00"/>
    <n v="5"/>
    <s v="00:34:58"/>
    <n v="63.519999999999982"/>
    <n v="272.60000000000002"/>
    <n v="317.60000000000002"/>
    <n v="254.08000000000004"/>
  </r>
  <r>
    <x v="63"/>
    <s v="Gregory Lee"/>
    <s v="Gregory"/>
    <s v="Lee"/>
    <n v="26"/>
    <x v="2"/>
    <x v="2"/>
    <s v="gregory.lee@rediffmail.com"/>
    <s v="619 Parker Turnpike Apt. 025, West Brucehaven, ID 48437"/>
    <s v="OID9451"/>
    <x v="30"/>
    <s v="21:47:08"/>
    <x v="44"/>
    <n v="110.95"/>
    <n v="2"/>
    <x v="3"/>
    <s v="20%"/>
    <n v="3"/>
    <x v="1"/>
    <n v="36"/>
    <d v="2024-04-12T00:00:00"/>
    <n v="5"/>
    <s v="12:42:34"/>
    <n v="51.579999999999984"/>
    <n v="221.9"/>
    <n v="257.89999999999998"/>
    <n v="206.32"/>
  </r>
  <r>
    <x v="20"/>
    <s v="John Herrera"/>
    <s v="John"/>
    <s v="Herrera"/>
    <n v="64"/>
    <x v="1"/>
    <x v="1"/>
    <s v="john.herrera@outlook.com"/>
    <s v="61263 Jacob Isle, Amandatown, TN 34321"/>
    <s v="OID4659"/>
    <x v="218"/>
    <s v="00:57:26"/>
    <x v="26"/>
    <n v="372.62"/>
    <n v="3"/>
    <x v="2"/>
    <s v="0 delivery charge"/>
    <n v="5"/>
    <x v="0"/>
    <n v="54"/>
    <d v="2024-03-01T00:00:00"/>
    <n v="1"/>
    <s v="23:16:52"/>
    <n v="54"/>
    <n v="1117.8600000000001"/>
    <n v="1171.8600000000001"/>
    <n v="1117.8600000000001"/>
  </r>
  <r>
    <x v="86"/>
    <s v="Megan Hunt"/>
    <s v="Megan"/>
    <s v="Hunt"/>
    <n v="63"/>
    <x v="0"/>
    <x v="6"/>
    <s v="megan.hunt@rediffmail.com"/>
    <s v="03765 Velazquez Knoll Suite 478, Richardshire, UT 17200"/>
    <s v="OID7205"/>
    <x v="219"/>
    <s v="21:16:04"/>
    <x v="21"/>
    <n v="157.63999999999999"/>
    <n v="2"/>
    <x v="0"/>
    <s v="8%"/>
    <n v="4"/>
    <x v="1"/>
    <n v="61"/>
    <d v="2023-06-13T00:00:00"/>
    <n v="7"/>
    <s v="10:41:25"/>
    <n v="30.102399999999989"/>
    <n v="315.27999999999997"/>
    <n v="376.28"/>
    <n v="346.17759999999998"/>
  </r>
  <r>
    <x v="83"/>
    <s v="Jessica Ruiz"/>
    <s v="Jessica"/>
    <s v="Ruiz"/>
    <n v="19"/>
    <x v="1"/>
    <x v="2"/>
    <s v="jessica.ruiz@rediffmail.com"/>
    <s v="02370 Laura Station Suite 309, Brandonville, DE 18875"/>
    <s v="OID9735"/>
    <x v="12"/>
    <s v="20:03:28"/>
    <x v="10"/>
    <n v="190.1"/>
    <n v="3"/>
    <x v="0"/>
    <s v="8%"/>
    <n v="4"/>
    <x v="1"/>
    <n v="63"/>
    <d v="2023-03-17T00:00:00"/>
    <n v="5"/>
    <s v="11:16:12"/>
    <n v="50.663999999999987"/>
    <n v="570.29999999999995"/>
    <n v="633.29999999999995"/>
    <n v="582.63599999999997"/>
  </r>
  <r>
    <x v="87"/>
    <s v="Jared Horn"/>
    <s v="Jared"/>
    <s v="Horn"/>
    <n v="43"/>
    <x v="0"/>
    <x v="4"/>
    <s v="jared.horn@outlook.com"/>
    <s v="43325 Barbara Tunnel, Port James, LA 16246"/>
    <s v="OID3358"/>
    <x v="220"/>
    <s v="15:38:50"/>
    <x v="48"/>
    <n v="107.47"/>
    <n v="1"/>
    <x v="0"/>
    <s v="8%"/>
    <n v="4"/>
    <x v="0"/>
    <n v="36"/>
    <d v="2024-05-18T00:00:00"/>
    <n v="2"/>
    <s v="12:50:53"/>
    <n v="11.477599999999995"/>
    <n v="107.47"/>
    <n v="143.47"/>
    <n v="131.9924"/>
  </r>
  <r>
    <x v="35"/>
    <s v="Aaron Thompson"/>
    <s v="Aaron"/>
    <s v="Thompson"/>
    <n v="47"/>
    <x v="1"/>
    <x v="3"/>
    <s v="aaron.thompson@gmail.com"/>
    <s v="PSC 0550, Box 2737, APO AE 75772"/>
    <s v="OID4719"/>
    <x v="221"/>
    <s v="03:13:28"/>
    <x v="9"/>
    <n v="175.93"/>
    <n v="3"/>
    <x v="2"/>
    <s v="0 delivery charge"/>
    <n v="3"/>
    <x v="1"/>
    <n v="58"/>
    <d v="2023-04-01T00:00:00"/>
    <n v="5"/>
    <s v="07:58:28"/>
    <n v="58"/>
    <n v="527.79"/>
    <n v="585.79"/>
    <n v="527.79"/>
  </r>
  <r>
    <x v="82"/>
    <s v="Brendan Kelly"/>
    <s v="Brendan"/>
    <s v="Kelly"/>
    <n v="50"/>
    <x v="2"/>
    <x v="6"/>
    <s v="brendan.kelly@rediffmail.com"/>
    <s v="688 Donald Oval Suite 089, Shepardport, CA 50844"/>
    <s v="OID8203"/>
    <x v="173"/>
    <s v="12:54:20"/>
    <x v="43"/>
    <n v="424.82"/>
    <n v="3"/>
    <x v="2"/>
    <s v="0 delivery charge"/>
    <n v="3"/>
    <x v="0"/>
    <n v="42"/>
    <d v="2024-07-09T00:00:00"/>
    <n v="1"/>
    <s v="17:32:38"/>
    <n v="42"/>
    <n v="1274.46"/>
    <n v="1316.46"/>
    <n v="1274.46"/>
  </r>
  <r>
    <x v="88"/>
    <s v="Veronica Lopez"/>
    <s v="Veronica"/>
    <s v="Lopez"/>
    <n v="18"/>
    <x v="1"/>
    <x v="7"/>
    <s v="veronica.lopez@gmail.com"/>
    <s v="660 Karen Station Apt. 887, Allenside, ID 03170"/>
    <s v="OID2353"/>
    <x v="222"/>
    <s v="15:59:36"/>
    <x v="24"/>
    <n v="481.48"/>
    <n v="4"/>
    <x v="2"/>
    <s v="0 delivery charge"/>
    <n v="2"/>
    <x v="1"/>
    <n v="61"/>
    <d v="2024-02-16T00:00:00"/>
    <n v="6"/>
    <s v="07:38:19"/>
    <n v="61"/>
    <n v="1925.92"/>
    <n v="1986.92"/>
    <n v="1925.92"/>
  </r>
  <r>
    <x v="82"/>
    <s v="Brendan Kelly"/>
    <s v="Brendan"/>
    <s v="Kelly"/>
    <n v="50"/>
    <x v="2"/>
    <x v="6"/>
    <s v="brendan.kelly@rediffmail.com"/>
    <s v="688 Donald Oval Suite 089, Shepardport, CA 50844"/>
    <s v="OID5255"/>
    <x v="52"/>
    <s v="19:52:34"/>
    <x v="13"/>
    <n v="104.18"/>
    <n v="1"/>
    <x v="0"/>
    <s v="8%"/>
    <n v="1"/>
    <x v="1"/>
    <n v="48"/>
    <d v="2024-11-07T00:00:00"/>
    <n v="4"/>
    <s v="07:40:09"/>
    <n v="12.174399999999991"/>
    <n v="104.18"/>
    <n v="152.18"/>
    <n v="140.00560000000002"/>
  </r>
  <r>
    <x v="89"/>
    <s v="Sarah Benson"/>
    <s v="Sarah"/>
    <s v="Benson"/>
    <n v="40"/>
    <x v="2"/>
    <x v="7"/>
    <s v="sarah.benson@outlook.com"/>
    <s v="5399 Hayes Well, West Pennystad, IL 93798"/>
    <s v="OID7946"/>
    <x v="223"/>
    <s v="20:27:13"/>
    <x v="36"/>
    <n v="425.59"/>
    <n v="2"/>
    <x v="0"/>
    <s v="8%"/>
    <n v="3"/>
    <x v="0"/>
    <n v="47"/>
    <d v="2024-05-11T00:00:00"/>
    <n v="1"/>
    <s v="22:27:12"/>
    <n v="71.854399999999941"/>
    <n v="851.18"/>
    <n v="898.18"/>
    <n v="826.32560000000001"/>
  </r>
  <r>
    <x v="83"/>
    <s v="Jessica Ruiz"/>
    <s v="Jessica"/>
    <s v="Ruiz"/>
    <n v="19"/>
    <x v="1"/>
    <x v="2"/>
    <s v="jessica.ruiz@rediffmail.com"/>
    <s v="02370 Laura Station Suite 309, Brandonville, DE 18875"/>
    <s v="OID1159"/>
    <x v="224"/>
    <s v="04:24:31"/>
    <x v="15"/>
    <n v="461.07"/>
    <n v="4"/>
    <x v="2"/>
    <s v="0 delivery charge"/>
    <n v="6"/>
    <x v="0"/>
    <n v="46"/>
    <d v="2023-04-06T00:00:00"/>
    <n v="5"/>
    <s v="06:44:34"/>
    <n v="46"/>
    <n v="1844.28"/>
    <n v="1890.28"/>
    <n v="1844.28"/>
  </r>
  <r>
    <x v="11"/>
    <s v="Amy Reid"/>
    <s v="Amy"/>
    <s v="Reid"/>
    <n v="44"/>
    <x v="1"/>
    <x v="3"/>
    <s v="amy.reid@rediffmail.com"/>
    <s v="6262 Simpson Village, North Danielle, RI 76074"/>
    <s v="OID5186"/>
    <x v="223"/>
    <s v="05:26:44"/>
    <x v="20"/>
    <n v="62.42"/>
    <n v="4"/>
    <x v="1"/>
    <s v="15%"/>
    <n v="1"/>
    <x v="1"/>
    <n v="67"/>
    <d v="2024-05-14T00:00:00"/>
    <n v="4"/>
    <s v="06:17:48"/>
    <n v="47.50200000000001"/>
    <n v="249.68"/>
    <n v="316.68"/>
    <n v="269.178"/>
  </r>
  <r>
    <x v="1"/>
    <s v="Anthony Thomas"/>
    <s v="Anthony"/>
    <s v="Thomas"/>
    <n v="53"/>
    <x v="1"/>
    <x v="1"/>
    <s v="anthony.thomas@rediffmail.com"/>
    <s v="931 Christopher Ways Suite 833, North Michelle, IN 53484"/>
    <s v="OID7156"/>
    <x v="112"/>
    <s v="13:33:00"/>
    <x v="8"/>
    <n v="257.06"/>
    <n v="1"/>
    <x v="3"/>
    <s v="20%"/>
    <n v="5"/>
    <x v="0"/>
    <n v="64"/>
    <d v="2023-09-19T00:00:00"/>
    <n v="2"/>
    <s v="16:40:47"/>
    <n v="64.211999999999989"/>
    <n v="257.06"/>
    <n v="321.06"/>
    <n v="256.84800000000001"/>
  </r>
  <r>
    <x v="53"/>
    <s v="Jodi Whitney"/>
    <s v="Jodi"/>
    <s v="Whitney"/>
    <n v="33"/>
    <x v="2"/>
    <x v="6"/>
    <s v="jodi.whitney@yahoo.com"/>
    <s v="72876 Lara Key Suite 383, Gutierrezton, OR 71683"/>
    <s v="OID3574"/>
    <x v="131"/>
    <s v="22:42:24"/>
    <x v="12"/>
    <n v="272.51"/>
    <n v="4"/>
    <x v="3"/>
    <s v="20%"/>
    <n v="6"/>
    <x v="0"/>
    <n v="39"/>
    <d v="2025-01-22T00:00:00"/>
    <n v="2"/>
    <s v="19:19:52"/>
    <n v="225.80799999999999"/>
    <n v="1090.04"/>
    <n v="1129.04"/>
    <n v="903.23199999999997"/>
  </r>
  <r>
    <x v="21"/>
    <s v="Angela Evans"/>
    <s v="Angela"/>
    <s v="Evans"/>
    <n v="52"/>
    <x v="2"/>
    <x v="1"/>
    <s v="angela.evans@outlook.com"/>
    <s v="16031 David Mountain Suite 431, Susanborough, PA 01910"/>
    <s v="OID1477"/>
    <x v="36"/>
    <s v="07:28:15"/>
    <x v="39"/>
    <n v="403.03"/>
    <n v="2"/>
    <x v="0"/>
    <s v="8%"/>
    <n v="4"/>
    <x v="2"/>
    <n v="70"/>
    <d v="2023-11-16T00:00:00"/>
    <n v="4"/>
    <s v="12:59:43"/>
    <n v="70.084799999999973"/>
    <n v="806.06"/>
    <n v="876.06"/>
    <n v="805.97519999999997"/>
  </r>
  <r>
    <x v="83"/>
    <s v="Jessica Ruiz"/>
    <s v="Jessica"/>
    <s v="Ruiz"/>
    <n v="19"/>
    <x v="1"/>
    <x v="2"/>
    <s v="jessica.ruiz@rediffmail.com"/>
    <s v="02370 Laura Station Suite 309, Brandonville, DE 18875"/>
    <s v="OID2944"/>
    <x v="225"/>
    <s v="05:37:56"/>
    <x v="15"/>
    <n v="461.07"/>
    <n v="3"/>
    <x v="4"/>
    <s v="10%"/>
    <n v="1"/>
    <x v="2"/>
    <n v="61"/>
    <d v="2023-10-03T00:00:00"/>
    <n v="1"/>
    <s v="15:40:22"/>
    <n v="144.42100000000005"/>
    <n v="1383.21"/>
    <n v="1444.21"/>
    <n v="1299.789"/>
  </r>
  <r>
    <x v="82"/>
    <s v="Brendan Kelly"/>
    <s v="Brendan"/>
    <s v="Kelly"/>
    <n v="50"/>
    <x v="2"/>
    <x v="6"/>
    <s v="brendan.kelly@rediffmail.com"/>
    <s v="688 Donald Oval Suite 089, Shepardport, CA 50844"/>
    <s v="OID5130"/>
    <x v="226"/>
    <s v="20:10:43"/>
    <x v="35"/>
    <n v="441.03"/>
    <n v="3"/>
    <x v="3"/>
    <s v="20%"/>
    <n v="4"/>
    <x v="1"/>
    <n v="40"/>
    <d v="2024-08-24T00:00:00"/>
    <n v="6"/>
    <s v="08:44:22"/>
    <n v="272.61799999999994"/>
    <n v="1323.09"/>
    <n v="1363.09"/>
    <n v="1090.472"/>
  </r>
  <r>
    <x v="10"/>
    <s v="Kara Brennan"/>
    <s v="Kara"/>
    <s v="Brennan"/>
    <n v="25"/>
    <x v="2"/>
    <x v="4"/>
    <s v="kara.brennan@outlook.com"/>
    <s v="2174 Thomas Avenue, Maciasborough, NJ 41465"/>
    <s v="OID7754"/>
    <x v="227"/>
    <s v="12:34:36"/>
    <x v="9"/>
    <n v="175.93"/>
    <n v="4"/>
    <x v="3"/>
    <s v="20%"/>
    <n v="6"/>
    <x v="1"/>
    <n v="45"/>
    <d v="2023-06-20T00:00:00"/>
    <n v="7"/>
    <s v="10:14:17"/>
    <n v="149.74400000000003"/>
    <n v="703.72"/>
    <n v="748.72"/>
    <n v="598.976"/>
  </r>
  <r>
    <x v="83"/>
    <s v="Jessica Ruiz"/>
    <s v="Jessica"/>
    <s v="Ruiz"/>
    <n v="19"/>
    <x v="1"/>
    <x v="2"/>
    <s v="jessica.ruiz@rediffmail.com"/>
    <s v="02370 Laura Station Suite 309, Brandonville, DE 18875"/>
    <s v="OID1246"/>
    <x v="228"/>
    <s v="05:06:18"/>
    <x v="30"/>
    <n v="369.03"/>
    <n v="3"/>
    <x v="0"/>
    <s v="8%"/>
    <n v="6"/>
    <x v="0"/>
    <n v="50"/>
    <d v="2023-05-06T00:00:00"/>
    <n v="3"/>
    <s v="20:00:01"/>
    <n v="92.567199999999957"/>
    <n v="1107.0899999999999"/>
    <n v="1157.0899999999999"/>
    <n v="1064.5228"/>
  </r>
  <r>
    <x v="64"/>
    <s v="Bruce Allen"/>
    <s v="Bruce"/>
    <s v="Allen"/>
    <n v="32"/>
    <x v="1"/>
    <x v="0"/>
    <s v="bruce.allen@rediffmail.com"/>
    <s v="2417 Brown Ford, West Timothyside, RI 45629"/>
    <s v="OID8680"/>
    <x v="229"/>
    <s v="14:47:52"/>
    <x v="24"/>
    <n v="481.48"/>
    <n v="2"/>
    <x v="3"/>
    <s v="20%"/>
    <n v="3"/>
    <x v="1"/>
    <n v="58"/>
    <d v="2025-01-26T00:00:00"/>
    <n v="7"/>
    <s v="17:06:11"/>
    <n v="204.19200000000001"/>
    <n v="962.96"/>
    <n v="1020.96"/>
    <n v="816.76800000000003"/>
  </r>
  <r>
    <x v="76"/>
    <s v="Natasha Michael"/>
    <s v="Natasha"/>
    <s v="Michael"/>
    <n v="49"/>
    <x v="0"/>
    <x v="1"/>
    <s v="natasha.michael@gmail.com"/>
    <s v="78992 Justin Estates Suite 226, Floresberg, NM 40797"/>
    <s v="OID7102"/>
    <x v="230"/>
    <s v="20:27:42"/>
    <x v="36"/>
    <n v="425.59"/>
    <n v="3"/>
    <x v="0"/>
    <s v="8%"/>
    <n v="6"/>
    <x v="1"/>
    <n v="55"/>
    <d v="2023-06-22T00:00:00"/>
    <n v="7"/>
    <s v="10:15:00"/>
    <n v="106.54160000000002"/>
    <n v="1276.77"/>
    <n v="1331.77"/>
    <n v="1225.2284"/>
  </r>
  <r>
    <x v="30"/>
    <s v="Julie Meyer"/>
    <s v="Julie"/>
    <s v="Meyer"/>
    <n v="23"/>
    <x v="0"/>
    <x v="0"/>
    <s v="julie.meyer@yahoo.com"/>
    <s v="17381 Smith Ramp Suite 398, Courtneyville, AL 17756"/>
    <s v="OID7555"/>
    <x v="208"/>
    <s v="13:24:08"/>
    <x v="49"/>
    <n v="33.49"/>
    <n v="2"/>
    <x v="0"/>
    <s v="8%"/>
    <n v="2"/>
    <x v="0"/>
    <n v="45"/>
    <d v="2025-01-03T00:00:00"/>
    <n v="1"/>
    <s v="07:39:38"/>
    <n v="8.9583999999999975"/>
    <n v="66.98"/>
    <n v="111.98"/>
    <n v="103.02160000000001"/>
  </r>
  <r>
    <x v="47"/>
    <s v="Mitchell Parker"/>
    <s v="Mitchell"/>
    <s v="Parker"/>
    <n v="39"/>
    <x v="2"/>
    <x v="1"/>
    <s v="mitchell.parker@yahoo.com"/>
    <s v="PSC 3316, Box 9303, APO AE 29513"/>
    <s v="OID3165"/>
    <x v="231"/>
    <s v="09:58:35"/>
    <x v="3"/>
    <n v="405"/>
    <n v="4"/>
    <x v="4"/>
    <s v="10%"/>
    <n v="7"/>
    <x v="0"/>
    <n v="70"/>
    <d v="2023-04-13T00:00:00"/>
    <n v="5"/>
    <s v="14:02:18"/>
    <n v="169"/>
    <n v="1620"/>
    <n v="1690"/>
    <n v="1521"/>
  </r>
  <r>
    <x v="37"/>
    <s v="Alexandra Smith"/>
    <s v="Alexandra"/>
    <s v="Smith"/>
    <n v="70"/>
    <x v="0"/>
    <x v="0"/>
    <s v="alexandra.smith@rediffmail.com"/>
    <s v="48611 Clark Village, West Anne, GA 92865"/>
    <s v="OID9628"/>
    <x v="164"/>
    <s v="06:20:30"/>
    <x v="24"/>
    <n v="481.48"/>
    <n v="3"/>
    <x v="3"/>
    <s v="20%"/>
    <n v="5"/>
    <x v="1"/>
    <n v="49"/>
    <d v="2024-06-19T00:00:00"/>
    <n v="7"/>
    <s v="20:45:00"/>
    <n v="298.68799999999987"/>
    <n v="1444.44"/>
    <n v="1493.44"/>
    <n v="1194.7520000000002"/>
  </r>
  <r>
    <x v="36"/>
    <s v="Jason Lopez"/>
    <s v="Jason"/>
    <s v="Lopez"/>
    <n v="40"/>
    <x v="2"/>
    <x v="6"/>
    <s v="jason.lopez@outlook.com"/>
    <s v="934 Levine View, Brentport, NE 38210"/>
    <s v="OID9782"/>
    <x v="232"/>
    <s v="17:53:01"/>
    <x v="37"/>
    <n v="133.62"/>
    <n v="2"/>
    <x v="4"/>
    <s v="10%"/>
    <n v="4"/>
    <x v="0"/>
    <n v="36"/>
    <d v="2023-05-13T00:00:00"/>
    <n v="1"/>
    <s v="05:26:03"/>
    <n v="30.324000000000012"/>
    <n v="267.24"/>
    <n v="303.24"/>
    <n v="272.916"/>
  </r>
  <r>
    <x v="78"/>
    <s v="Mark Summers"/>
    <s v="Mark"/>
    <s v="Summers"/>
    <n v="55"/>
    <x v="1"/>
    <x v="5"/>
    <s v="mark.summers@outlook.com"/>
    <s v="08413 Lynch Parkway, Calderonstad, NV 32697"/>
    <s v="OID7302"/>
    <x v="233"/>
    <s v="03:43:05"/>
    <x v="20"/>
    <n v="62.42"/>
    <n v="4"/>
    <x v="4"/>
    <s v="10%"/>
    <n v="6"/>
    <x v="2"/>
    <n v="43"/>
    <d v="2024-05-08T00:00:00"/>
    <n v="6"/>
    <s v="17:57:56"/>
    <n v="29.267999999999972"/>
    <n v="249.68"/>
    <n v="292.68"/>
    <n v="263.41200000000003"/>
  </r>
  <r>
    <x v="80"/>
    <s v="Mike Carter"/>
    <s v="Mike"/>
    <s v="Carter"/>
    <n v="59"/>
    <x v="2"/>
    <x v="6"/>
    <s v="mike.carter@rediffmail.com"/>
    <s v="3971 Ortiz Fields, Lake Jackfort, IA 97132"/>
    <s v="OID4580"/>
    <x v="234"/>
    <s v="02:56:56"/>
    <x v="27"/>
    <n v="496.59"/>
    <n v="2"/>
    <x v="0"/>
    <s v="8%"/>
    <n v="3"/>
    <x v="0"/>
    <n v="55"/>
    <d v="2024-08-24T00:00:00"/>
    <n v="1"/>
    <s v="11:28:09"/>
    <n v="83.854399999999941"/>
    <n v="993.18"/>
    <n v="1048.1799999999998"/>
    <n v="964.32559999999989"/>
  </r>
  <r>
    <x v="50"/>
    <s v="Katherine Weber"/>
    <s v="Katherine"/>
    <s v="Weber"/>
    <n v="42"/>
    <x v="2"/>
    <x v="2"/>
    <s v="katherine.weber@outlook.com"/>
    <s v="04887 Kimberly Union Apt. 645, Port Laura, IL 97219"/>
    <s v="OID7954"/>
    <x v="206"/>
    <s v="04:29:06"/>
    <x v="28"/>
    <n v="431.44"/>
    <n v="4"/>
    <x v="2"/>
    <s v="0 delivery charge"/>
    <n v="3"/>
    <x v="1"/>
    <n v="65"/>
    <d v="2023-11-09T00:00:00"/>
    <n v="6"/>
    <s v="22:44:53"/>
    <n v="65"/>
    <n v="1725.76"/>
    <n v="1790.76"/>
    <n v="1725.76"/>
  </r>
  <r>
    <x v="35"/>
    <s v="Aaron Thompson"/>
    <s v="Aaron"/>
    <s v="Thompson"/>
    <n v="47"/>
    <x v="1"/>
    <x v="3"/>
    <s v="aaron.thompson@gmail.com"/>
    <s v="PSC 0550, Box 2737, APO AE 75772"/>
    <s v="OID6246"/>
    <x v="149"/>
    <s v="10:04:49"/>
    <x v="43"/>
    <n v="424.82"/>
    <n v="2"/>
    <x v="2"/>
    <s v="0 delivery charge"/>
    <n v="2"/>
    <x v="1"/>
    <n v="57"/>
    <d v="2024-08-16T00:00:00"/>
    <n v="7"/>
    <s v="22:07:13"/>
    <n v="57"/>
    <n v="849.64"/>
    <n v="906.64"/>
    <n v="849.64"/>
  </r>
  <r>
    <x v="78"/>
    <s v="Mark Summers"/>
    <s v="Mark"/>
    <s v="Summers"/>
    <n v="55"/>
    <x v="1"/>
    <x v="5"/>
    <s v="mark.summers@outlook.com"/>
    <s v="08413 Lynch Parkway, Calderonstad, NV 32697"/>
    <s v="OID5671"/>
    <x v="68"/>
    <s v="23:44:50"/>
    <x v="33"/>
    <n v="421.7"/>
    <n v="3"/>
    <x v="0"/>
    <s v="8%"/>
    <n v="5"/>
    <x v="0"/>
    <n v="54"/>
    <d v="2024-10-06T00:00:00"/>
    <n v="4"/>
    <s v="04:23:25"/>
    <n v="105.52800000000002"/>
    <n v="1265.0999999999999"/>
    <n v="1319.1"/>
    <n v="1213.5719999999999"/>
  </r>
  <r>
    <x v="84"/>
    <s v="Hannah Gutierrez"/>
    <s v="Hannah"/>
    <s v="Gutierrez"/>
    <n v="55"/>
    <x v="1"/>
    <x v="5"/>
    <s v="hannah.gutierrez@yahoo.com"/>
    <s v="2420 David Manors, Jessicaland, CT 41698"/>
    <s v="OID3145"/>
    <x v="235"/>
    <s v="17:40:16"/>
    <x v="26"/>
    <n v="372.62"/>
    <n v="1"/>
    <x v="4"/>
    <s v="10%"/>
    <n v="5"/>
    <x v="1"/>
    <n v="45"/>
    <d v="2023-08-26T00:00:00"/>
    <n v="7"/>
    <s v="19:38:50"/>
    <n v="41.762"/>
    <n v="372.62"/>
    <n v="417.62"/>
    <n v="375.858"/>
  </r>
  <r>
    <x v="82"/>
    <s v="Brendan Kelly"/>
    <s v="Brendan"/>
    <s v="Kelly"/>
    <n v="50"/>
    <x v="2"/>
    <x v="6"/>
    <s v="brendan.kelly@rediffmail.com"/>
    <s v="688 Donald Oval Suite 089, Shepardport, CA 50844"/>
    <s v="OID8575"/>
    <x v="40"/>
    <s v="09:51:24"/>
    <x v="13"/>
    <n v="104.18"/>
    <n v="1"/>
    <x v="0"/>
    <s v="8%"/>
    <n v="3"/>
    <x v="1"/>
    <n v="60"/>
    <d v="2024-09-28T00:00:00"/>
    <n v="6"/>
    <s v="00:10:27"/>
    <n v="13.134399999999999"/>
    <n v="104.18"/>
    <n v="164.18"/>
    <n v="151.04560000000001"/>
  </r>
  <r>
    <x v="72"/>
    <s v="Leslie Montgomery"/>
    <s v="Leslie"/>
    <s v="Montgomery"/>
    <n v="26"/>
    <x v="1"/>
    <x v="5"/>
    <s v="leslie.montgomery@gmail.com"/>
    <s v="135 Teresa Oval Apt. 825, East Katherineport, WY 13714"/>
    <s v="OID7910"/>
    <x v="236"/>
    <s v="05:56:42"/>
    <x v="9"/>
    <n v="175.93"/>
    <n v="2"/>
    <x v="0"/>
    <s v="8%"/>
    <n v="5"/>
    <x v="0"/>
    <n v="49"/>
    <d v="2023-06-29T00:00:00"/>
    <n v="2"/>
    <s v="03:42:23"/>
    <n v="32.06880000000001"/>
    <n v="351.86"/>
    <n v="400.86"/>
    <n v="368.7912"/>
  </r>
  <r>
    <x v="79"/>
    <s v="Gary Huff"/>
    <s v="Gary"/>
    <s v="Huff"/>
    <n v="18"/>
    <x v="0"/>
    <x v="2"/>
    <s v="gary.huff@gmail.com"/>
    <s v="58608 Alexander Terrace, South Bryan, SC 85541"/>
    <s v="OID1179"/>
    <x v="237"/>
    <s v="06:33:59"/>
    <x v="20"/>
    <n v="62.42"/>
    <n v="1"/>
    <x v="0"/>
    <s v="8%"/>
    <n v="3"/>
    <x v="0"/>
    <n v="46"/>
    <d v="2024-09-30T00:00:00"/>
    <n v="2"/>
    <s v="13:29:05"/>
    <n v="8.6735999999999933"/>
    <n v="62.42"/>
    <n v="108.42"/>
    <n v="99.746400000000008"/>
  </r>
  <r>
    <x v="39"/>
    <s v="Amanda Howard"/>
    <s v="Amanda"/>
    <s v="Howard"/>
    <n v="52"/>
    <x v="2"/>
    <x v="7"/>
    <s v="amanda.howard@outlook.com"/>
    <s v="56908 Sydney Park Suite 632, West Anthonyport, NC 15954"/>
    <s v="OID1041"/>
    <x v="238"/>
    <s v="01:23:40"/>
    <x v="14"/>
    <n v="20.7"/>
    <n v="2"/>
    <x v="0"/>
    <s v="8%"/>
    <n v="7"/>
    <x v="2"/>
    <n v="39"/>
    <d v="2023-12-26T00:00:00"/>
    <n v="7"/>
    <s v="19:01:55"/>
    <n v="6.4320000000000022"/>
    <n v="41.4"/>
    <n v="80.400000000000006"/>
    <n v="73.968000000000004"/>
  </r>
  <r>
    <x v="12"/>
    <s v="Joshua Campbell"/>
    <s v="Joshua"/>
    <s v="Campbell"/>
    <n v="24"/>
    <x v="0"/>
    <x v="5"/>
    <s v="joshua.campbell@gmail.com"/>
    <s v="70426 Lindsey Overpass Apt. 030, Jessicafurt, AR 46269"/>
    <s v="OID1693"/>
    <x v="239"/>
    <s v="18:29:39"/>
    <x v="10"/>
    <n v="190.1"/>
    <n v="1"/>
    <x v="3"/>
    <s v="20%"/>
    <n v="3"/>
    <x v="0"/>
    <n v="63"/>
    <d v="2023-10-08T00:00:00"/>
    <n v="1"/>
    <s v="02:01:44"/>
    <n v="50.619999999999976"/>
    <n v="190.1"/>
    <n v="253.1"/>
    <n v="202.48000000000002"/>
  </r>
  <r>
    <x v="81"/>
    <s v="Thomas Owens"/>
    <s v="Thomas"/>
    <s v="Owens"/>
    <n v="34"/>
    <x v="2"/>
    <x v="7"/>
    <s v="thomas.owens@outlook.com"/>
    <s v="43920 Shaffer Valley Suite 531, South Jerry, MD 67120"/>
    <s v="OID8609"/>
    <x v="240"/>
    <s v="13:33:06"/>
    <x v="22"/>
    <n v="158.53"/>
    <n v="3"/>
    <x v="3"/>
    <s v="20%"/>
    <n v="6"/>
    <x v="1"/>
    <n v="38"/>
    <d v="2024-02-09T00:00:00"/>
    <n v="7"/>
    <s v="04:01:49"/>
    <n v="102.71799999999996"/>
    <n v="475.59000000000003"/>
    <n v="513.59"/>
    <n v="410.87200000000007"/>
  </r>
  <r>
    <x v="83"/>
    <s v="Jessica Ruiz"/>
    <s v="Jessica"/>
    <s v="Ruiz"/>
    <n v="19"/>
    <x v="1"/>
    <x v="2"/>
    <s v="jessica.ruiz@rediffmail.com"/>
    <s v="02370 Laura Station Suite 309, Brandonville, DE 18875"/>
    <s v="OID9578"/>
    <x v="241"/>
    <s v="15:56:55"/>
    <x v="29"/>
    <n v="44.5"/>
    <n v="1"/>
    <x v="4"/>
    <s v="10%"/>
    <n v="4"/>
    <x v="1"/>
    <n v="49"/>
    <d v="2023-12-18T00:00:00"/>
    <n v="6"/>
    <s v="18:16:24"/>
    <n v="9.3499999999999943"/>
    <n v="44.5"/>
    <n v="93.5"/>
    <n v="84.15"/>
  </r>
  <r>
    <x v="29"/>
    <s v="Courtney Parker"/>
    <s v="Courtney"/>
    <s v="Parker"/>
    <n v="29"/>
    <x v="2"/>
    <x v="3"/>
    <s v="courtney.parker@yahoo.com"/>
    <s v="087 Jacqueline Rue Apt. 694, East Tasha, SC 04859"/>
    <s v="OID5985"/>
    <x v="197"/>
    <s v="14:57:23"/>
    <x v="23"/>
    <n v="129.75"/>
    <n v="2"/>
    <x v="2"/>
    <s v="0 delivery charge"/>
    <n v="4"/>
    <x v="2"/>
    <n v="53"/>
    <d v="2024-11-24T00:00:00"/>
    <n v="4"/>
    <s v="09:49:51"/>
    <n v="53"/>
    <n v="259.5"/>
    <n v="312.5"/>
    <n v="259.5"/>
  </r>
  <r>
    <x v="78"/>
    <s v="Mark Summers"/>
    <s v="Mark"/>
    <s v="Summers"/>
    <n v="55"/>
    <x v="1"/>
    <x v="5"/>
    <s v="mark.summers@outlook.com"/>
    <s v="08413 Lynch Parkway, Calderonstad, NV 32697"/>
    <s v="OID2571"/>
    <x v="240"/>
    <s v="19:33:36"/>
    <x v="9"/>
    <n v="175.93"/>
    <n v="2"/>
    <x v="2"/>
    <s v="0 delivery charge"/>
    <n v="6"/>
    <x v="0"/>
    <n v="50"/>
    <d v="2024-02-03T00:00:00"/>
    <n v="1"/>
    <s v="06:30:50"/>
    <n v="50"/>
    <n v="351.86"/>
    <n v="401.86"/>
    <n v="351.86"/>
  </r>
  <r>
    <x v="73"/>
    <s v="Susan Thompson"/>
    <s v="Susan"/>
    <s v="Thompson"/>
    <n v="37"/>
    <x v="2"/>
    <x v="7"/>
    <s v="susan.thompson@outlook.com"/>
    <s v="47821 William Station, East Ashleymouth, FL 20562"/>
    <s v="OID6045"/>
    <x v="242"/>
    <s v="17:53:46"/>
    <x v="33"/>
    <n v="421.7"/>
    <n v="5"/>
    <x v="1"/>
    <s v="15%"/>
    <n v="2"/>
    <x v="1"/>
    <n v="56"/>
    <d v="2025-01-17T00:00:00"/>
    <n v="3"/>
    <s v="18:13:08"/>
    <n v="324.67499999999995"/>
    <n v="2108.5"/>
    <n v="2164.5"/>
    <n v="1839.825"/>
  </r>
  <r>
    <x v="55"/>
    <s v="William Mann"/>
    <s v="William"/>
    <s v="Mann"/>
    <n v="21"/>
    <x v="0"/>
    <x v="1"/>
    <s v="william.mann@yahoo.com"/>
    <s v="849 Tran Wells, New Lindsayville, WI 22669"/>
    <s v="OID1336"/>
    <x v="243"/>
    <s v="13:40:58"/>
    <x v="40"/>
    <n v="445.81"/>
    <n v="1"/>
    <x v="3"/>
    <s v="20%"/>
    <n v="7"/>
    <x v="2"/>
    <n v="41"/>
    <d v="2023-05-25T00:00:00"/>
    <n v="7"/>
    <s v="02:14:28"/>
    <n v="97.361999999999966"/>
    <n v="445.81"/>
    <n v="486.81"/>
    <n v="389.44800000000004"/>
  </r>
  <r>
    <x v="61"/>
    <s v="Troy Gomez"/>
    <s v="Troy"/>
    <s v="Gomez"/>
    <n v="68"/>
    <x v="0"/>
    <x v="7"/>
    <s v="troy.gomez@outlook.com"/>
    <s v="7510 Jose Knolls, Candicechester, LA 62815"/>
    <s v="OID7117"/>
    <x v="244"/>
    <s v="04:49:20"/>
    <x v="36"/>
    <n v="425.59"/>
    <n v="2"/>
    <x v="2"/>
    <s v="0 delivery charge"/>
    <n v="2"/>
    <x v="1"/>
    <n v="67"/>
    <d v="2023-02-20T00:00:00"/>
    <n v="4"/>
    <s v="16:13:35"/>
    <n v="67"/>
    <n v="851.18"/>
    <n v="918.18"/>
    <n v="851.18"/>
  </r>
  <r>
    <x v="32"/>
    <s v="Robert Castillo"/>
    <s v="Robert"/>
    <s v="Castillo"/>
    <n v="32"/>
    <x v="1"/>
    <x v="6"/>
    <s v="robert.castillo@gmail.com"/>
    <s v="7143 Brandon Skyway Suite 899, Tylerton, IA 21756"/>
    <s v="OID3749"/>
    <x v="245"/>
    <s v="16:34:44"/>
    <x v="36"/>
    <n v="425.59"/>
    <n v="1"/>
    <x v="0"/>
    <s v="8%"/>
    <n v="1"/>
    <x v="1"/>
    <n v="62"/>
    <d v="2024-08-14T00:00:00"/>
    <n v="3"/>
    <s v="16:28:56"/>
    <n v="39.007199999999955"/>
    <n v="425.59"/>
    <n v="487.59"/>
    <n v="448.58280000000002"/>
  </r>
  <r>
    <x v="78"/>
    <s v="Mark Summers"/>
    <s v="Mark"/>
    <s v="Summers"/>
    <n v="55"/>
    <x v="1"/>
    <x v="5"/>
    <s v="mark.summers@outlook.com"/>
    <s v="08413 Lynch Parkway, Calderonstad, NV 32697"/>
    <s v="OID7008"/>
    <x v="246"/>
    <s v="04:12:20"/>
    <x v="19"/>
    <n v="128.13999999999999"/>
    <n v="1"/>
    <x v="4"/>
    <s v="10%"/>
    <n v="1"/>
    <x v="1"/>
    <n v="39"/>
    <d v="2023-02-25T00:00:00"/>
    <n v="6"/>
    <s v="01:46:13"/>
    <n v="16.713999999999999"/>
    <n v="128.13999999999999"/>
    <n v="167.14"/>
    <n v="150.42599999999999"/>
  </r>
  <r>
    <x v="82"/>
    <s v="Brendan Kelly"/>
    <s v="Brendan"/>
    <s v="Kelly"/>
    <n v="50"/>
    <x v="2"/>
    <x v="6"/>
    <s v="brendan.kelly@rediffmail.com"/>
    <s v="688 Donald Oval Suite 089, Shepardport, CA 50844"/>
    <s v="OID8913"/>
    <x v="247"/>
    <s v="20:53:04"/>
    <x v="42"/>
    <n v="235.63"/>
    <n v="1"/>
    <x v="3"/>
    <s v="20%"/>
    <n v="7"/>
    <x v="0"/>
    <n v="46"/>
    <d v="2025-02-01T00:00:00"/>
    <n v="5"/>
    <s v="00:48:16"/>
    <n v="56.325999999999993"/>
    <n v="235.63"/>
    <n v="281.63"/>
    <n v="225.304"/>
  </r>
  <r>
    <x v="90"/>
    <s v="Lauren Lane"/>
    <s v="Lauren"/>
    <s v="Lane"/>
    <n v="30"/>
    <x v="0"/>
    <x v="7"/>
    <s v="lauren.lane@gmail.com"/>
    <s v="56985 Sergio Extensions, Port Albert, CO 02898"/>
    <s v="OID1597"/>
    <x v="248"/>
    <s v="05:27:44"/>
    <x v="21"/>
    <n v="157.63999999999999"/>
    <n v="2"/>
    <x v="3"/>
    <s v="20%"/>
    <n v="1"/>
    <x v="2"/>
    <n v="57"/>
    <d v="2024-04-19T00:00:00"/>
    <n v="1"/>
    <s v="21:00:17"/>
    <n v="74.45599999999996"/>
    <n v="315.27999999999997"/>
    <n v="372.28"/>
    <n v="297.82400000000001"/>
  </r>
  <r>
    <x v="74"/>
    <s v="Amy Griffin"/>
    <s v="Amy"/>
    <s v="Griffin"/>
    <n v="29"/>
    <x v="0"/>
    <x v="1"/>
    <s v="amy.griffin@rediffmail.com"/>
    <s v="07350 Aaron Meadow Suite 138, Kiaraberg, AL 79545"/>
    <s v="OID4412"/>
    <x v="125"/>
    <s v="06:35:14"/>
    <x v="16"/>
    <n v="132.97"/>
    <n v="3"/>
    <x v="1"/>
    <s v="15%"/>
    <n v="3"/>
    <x v="0"/>
    <n v="36"/>
    <d v="2023-07-03T00:00:00"/>
    <n v="2"/>
    <s v="23:36:21"/>
    <n v="65.236499999999978"/>
    <n v="398.90999999999997"/>
    <n v="434.90999999999997"/>
    <n v="369.67349999999999"/>
  </r>
  <r>
    <x v="32"/>
    <s v="Robert Castillo"/>
    <s v="Robert"/>
    <s v="Castillo"/>
    <n v="32"/>
    <x v="1"/>
    <x v="6"/>
    <s v="robert.castillo@gmail.com"/>
    <s v="7143 Brandon Skyway Suite 899, Tylerton, IA 21756"/>
    <s v="OID3900"/>
    <x v="249"/>
    <s v="20:14:30"/>
    <x v="24"/>
    <n v="481.48"/>
    <n v="1"/>
    <x v="1"/>
    <s v="15%"/>
    <n v="4"/>
    <x v="1"/>
    <n v="67"/>
    <d v="2023-08-12T00:00:00"/>
    <n v="7"/>
    <s v="12:31:00"/>
    <n v="82.271999999999991"/>
    <n v="481.48"/>
    <n v="548.48"/>
    <n v="466.20800000000003"/>
  </r>
  <r>
    <x v="10"/>
    <s v="Kara Brennan"/>
    <s v="Kara"/>
    <s v="Brennan"/>
    <n v="25"/>
    <x v="2"/>
    <x v="4"/>
    <s v="kara.brennan@outlook.com"/>
    <s v="2174 Thomas Avenue, Maciasborough, NJ 41465"/>
    <s v="OID9756"/>
    <x v="250"/>
    <s v="06:46:07"/>
    <x v="24"/>
    <n v="481.48"/>
    <n v="2"/>
    <x v="4"/>
    <s v="10%"/>
    <n v="7"/>
    <x v="2"/>
    <n v="66"/>
    <d v="2023-10-19T00:00:00"/>
    <n v="7"/>
    <s v="19:17:45"/>
    <n v="102.89599999999996"/>
    <n v="962.96"/>
    <n v="1028.96"/>
    <n v="926.06400000000008"/>
  </r>
  <r>
    <x v="91"/>
    <s v="William Richmond"/>
    <s v="William"/>
    <s v="Richmond"/>
    <n v="57"/>
    <x v="2"/>
    <x v="4"/>
    <s v="william.richmond@outlook.com"/>
    <s v="4021 Brown Orchard Apt. 026, Christinahaven, OK 18499"/>
    <s v="OID8307"/>
    <x v="251"/>
    <s v="23:19:47"/>
    <x v="22"/>
    <n v="158.53"/>
    <n v="5"/>
    <x v="3"/>
    <s v="20%"/>
    <n v="1"/>
    <x v="1"/>
    <n v="46"/>
    <d v="2023-08-13T00:00:00"/>
    <n v="4"/>
    <s v="16:06:37"/>
    <n v="167.7299999999999"/>
    <n v="792.65"/>
    <n v="838.65"/>
    <n v="670.92000000000007"/>
  </r>
  <r>
    <x v="87"/>
    <s v="Jared Horn"/>
    <s v="Jared"/>
    <s v="Horn"/>
    <n v="43"/>
    <x v="0"/>
    <x v="4"/>
    <s v="jared.horn@outlook.com"/>
    <s v="43325 Barbara Tunnel, Port James, LA 16246"/>
    <s v="OID5575"/>
    <x v="252"/>
    <s v="12:50:48"/>
    <x v="12"/>
    <n v="272.51"/>
    <n v="2"/>
    <x v="3"/>
    <s v="20%"/>
    <n v="5"/>
    <x v="0"/>
    <n v="37"/>
    <d v="2024-12-14T00:00:00"/>
    <n v="3"/>
    <s v="19:56:33"/>
    <n v="116.404"/>
    <n v="545.02"/>
    <n v="582.02"/>
    <n v="465.61599999999999"/>
  </r>
  <r>
    <x v="82"/>
    <s v="Brendan Kelly"/>
    <s v="Brendan"/>
    <s v="Kelly"/>
    <n v="50"/>
    <x v="2"/>
    <x v="6"/>
    <s v="brendan.kelly@rediffmail.com"/>
    <s v="688 Donald Oval Suite 089, Shepardport, CA 50844"/>
    <s v="OID5883"/>
    <x v="38"/>
    <s v="21:08:26"/>
    <x v="13"/>
    <n v="104.18"/>
    <n v="2"/>
    <x v="1"/>
    <s v="15%"/>
    <n v="5"/>
    <x v="0"/>
    <n v="65"/>
    <d v="2024-12-31T00:00:00"/>
    <n v="1"/>
    <s v="09:20:03"/>
    <n v="41.004000000000019"/>
    <n v="208.36"/>
    <n v="273.36"/>
    <n v="232.35599999999999"/>
  </r>
  <r>
    <x v="13"/>
    <s v="Erin Miller"/>
    <s v="Erin"/>
    <s v="Miller"/>
    <n v="46"/>
    <x v="0"/>
    <x v="6"/>
    <s v="erin.miller@gmail.com"/>
    <s v="65972 Peterson Route, Port Andrewfurt, SD 32892"/>
    <s v="OID6340"/>
    <x v="253"/>
    <s v="10:50:30"/>
    <x v="46"/>
    <n v="20"/>
    <n v="2"/>
    <x v="4"/>
    <s v="10%"/>
    <n v="3"/>
    <x v="1"/>
    <n v="38"/>
    <d v="2024-07-12T00:00:00"/>
    <n v="6"/>
    <s v="16:59:14"/>
    <n v="7.7999999999999972"/>
    <n v="40"/>
    <n v="78"/>
    <n v="70.2"/>
  </r>
  <r>
    <x v="40"/>
    <s v="Mary Knight"/>
    <s v="Mary"/>
    <s v="Knight"/>
    <n v="28"/>
    <x v="2"/>
    <x v="2"/>
    <s v="mary.knight@yahoo.com"/>
    <s v="907 Kimberly Hill, Murrayfort, NH 88384"/>
    <s v="OID2501"/>
    <x v="254"/>
    <s v="11:53:55"/>
    <x v="43"/>
    <n v="424.82"/>
    <n v="1"/>
    <x v="0"/>
    <s v="8%"/>
    <n v="5"/>
    <x v="1"/>
    <n v="49"/>
    <d v="2024-08-04T00:00:00"/>
    <n v="7"/>
    <s v="00:56:01"/>
    <n v="37.905599999999993"/>
    <n v="424.82"/>
    <n v="473.82"/>
    <n v="435.9144"/>
  </r>
  <r>
    <x v="86"/>
    <s v="Megan Hunt"/>
    <s v="Megan"/>
    <s v="Hunt"/>
    <n v="63"/>
    <x v="0"/>
    <x v="6"/>
    <s v="megan.hunt@rediffmail.com"/>
    <s v="03765 Velazquez Knoll Suite 478, Richardshire, UT 17200"/>
    <s v="OID6973"/>
    <x v="255"/>
    <s v="04:03:12"/>
    <x v="11"/>
    <n v="220.27"/>
    <n v="5"/>
    <x v="3"/>
    <s v="20%"/>
    <n v="6"/>
    <x v="0"/>
    <n v="57"/>
    <d v="2023-07-02T00:00:00"/>
    <n v="2"/>
    <s v="13:27:06"/>
    <n v="231.66999999999996"/>
    <n v="1101.3500000000001"/>
    <n v="1158.3500000000001"/>
    <n v="926.68000000000018"/>
  </r>
  <r>
    <x v="36"/>
    <s v="Jason Lopez"/>
    <s v="Jason"/>
    <s v="Lopez"/>
    <n v="40"/>
    <x v="2"/>
    <x v="6"/>
    <s v="jason.lopez@outlook.com"/>
    <s v="934 Levine View, Brentport, NE 38210"/>
    <s v="OID6597"/>
    <x v="234"/>
    <s v="19:44:28"/>
    <x v="36"/>
    <n v="425.59"/>
    <n v="5"/>
    <x v="2"/>
    <s v="0 delivery charge"/>
    <n v="4"/>
    <x v="2"/>
    <n v="43"/>
    <d v="2024-08-27T00:00:00"/>
    <n v="4"/>
    <s v="02:51:48"/>
    <n v="43"/>
    <n v="2127.9499999999998"/>
    <n v="2170.9499999999998"/>
    <n v="2127.9499999999998"/>
  </r>
  <r>
    <x v="90"/>
    <s v="Lauren Lane"/>
    <s v="Lauren"/>
    <s v="Lane"/>
    <n v="30"/>
    <x v="0"/>
    <x v="7"/>
    <s v="lauren.lane@gmail.com"/>
    <s v="56985 Sergio Extensions, Port Albert, CO 02898"/>
    <s v="OID4840"/>
    <x v="256"/>
    <s v="12:38:37"/>
    <x v="7"/>
    <n v="48.45"/>
    <n v="3"/>
    <x v="4"/>
    <s v="10%"/>
    <n v="2"/>
    <x v="2"/>
    <n v="63"/>
    <d v="2024-05-10T00:00:00"/>
    <n v="2"/>
    <s v="19:14:57"/>
    <n v="20.835000000000008"/>
    <n v="145.35000000000002"/>
    <n v="208.35000000000002"/>
    <n v="187.51500000000001"/>
  </r>
  <r>
    <x v="84"/>
    <s v="Hannah Gutierrez"/>
    <s v="Hannah"/>
    <s v="Gutierrez"/>
    <n v="55"/>
    <x v="1"/>
    <x v="5"/>
    <s v="hannah.gutierrez@yahoo.com"/>
    <s v="2420 David Manors, Jessicaland, CT 41698"/>
    <s v="OID5389"/>
    <x v="112"/>
    <s v="14:52:37"/>
    <x v="13"/>
    <n v="104.18"/>
    <n v="2"/>
    <x v="0"/>
    <s v="8%"/>
    <n v="4"/>
    <x v="2"/>
    <n v="43"/>
    <d v="2023-09-21T00:00:00"/>
    <n v="4"/>
    <s v="09:59:33"/>
    <n v="20.108800000000002"/>
    <n v="208.36"/>
    <n v="251.36"/>
    <n v="231.25120000000001"/>
  </r>
  <r>
    <x v="85"/>
    <s v="Angela Casey"/>
    <s v="Angela"/>
    <s v="Casey"/>
    <n v="40"/>
    <x v="0"/>
    <x v="2"/>
    <s v="angela.casey@gmail.com"/>
    <s v="089 Farley Terrace, Thomashaven, MT 56607"/>
    <s v="OID8649"/>
    <x v="257"/>
    <s v="08:43:40"/>
    <x v="40"/>
    <n v="445.81"/>
    <n v="1"/>
    <x v="2"/>
    <s v="0 delivery charge"/>
    <n v="1"/>
    <x v="1"/>
    <n v="51"/>
    <d v="2023-09-29T00:00:00"/>
    <n v="3"/>
    <s v="05:13:28"/>
    <n v="51"/>
    <n v="445.81"/>
    <n v="496.81"/>
    <n v="445.81"/>
  </r>
  <r>
    <x v="89"/>
    <s v="Sarah Benson"/>
    <s v="Sarah"/>
    <s v="Benson"/>
    <n v="40"/>
    <x v="2"/>
    <x v="7"/>
    <s v="sarah.benson@outlook.com"/>
    <s v="5399 Hayes Well, West Pennystad, IL 93798"/>
    <s v="OID2779"/>
    <x v="258"/>
    <s v="03:11:02"/>
    <x v="16"/>
    <n v="132.97"/>
    <n v="2"/>
    <x v="4"/>
    <s v="10%"/>
    <n v="6"/>
    <x v="0"/>
    <n v="69"/>
    <d v="2024-10-13T00:00:00"/>
    <n v="5"/>
    <s v="19:39:57"/>
    <n v="33.493999999999971"/>
    <n v="265.94"/>
    <n v="334.94"/>
    <n v="301.44600000000003"/>
  </r>
  <r>
    <x v="84"/>
    <s v="Hannah Gutierrez"/>
    <s v="Hannah"/>
    <s v="Gutierrez"/>
    <n v="55"/>
    <x v="1"/>
    <x v="5"/>
    <s v="hannah.gutierrez@yahoo.com"/>
    <s v="2420 David Manors, Jessicaland, CT 41698"/>
    <s v="OID4185"/>
    <x v="259"/>
    <s v="17:17:44"/>
    <x v="33"/>
    <n v="421.7"/>
    <n v="4"/>
    <x v="0"/>
    <s v="8%"/>
    <n v="5"/>
    <x v="2"/>
    <n v="55"/>
    <d v="2024-04-07T00:00:00"/>
    <n v="5"/>
    <s v="11:45:52"/>
    <n v="139.34399999999982"/>
    <n v="1686.8"/>
    <n v="1741.8"/>
    <n v="1602.4560000000001"/>
  </r>
  <r>
    <x v="84"/>
    <s v="Hannah Gutierrez"/>
    <s v="Hannah"/>
    <s v="Gutierrez"/>
    <n v="55"/>
    <x v="1"/>
    <x v="5"/>
    <s v="hannah.gutierrez@yahoo.com"/>
    <s v="2420 David Manors, Jessicaland, CT 41698"/>
    <s v="OID1243"/>
    <x v="260"/>
    <s v="17:27:56"/>
    <x v="38"/>
    <n v="477.52"/>
    <n v="1"/>
    <x v="2"/>
    <s v="0 delivery charge"/>
    <n v="7"/>
    <x v="0"/>
    <n v="48"/>
    <d v="2024-04-11T00:00:00"/>
    <n v="5"/>
    <s v="05:22:25"/>
    <n v="48"/>
    <n v="477.52"/>
    <n v="525.52"/>
    <n v="477.52"/>
  </r>
  <r>
    <x v="43"/>
    <s v="Rebecca Figueroa"/>
    <s v="Rebecca"/>
    <s v="Figueroa"/>
    <n v="63"/>
    <x v="0"/>
    <x v="4"/>
    <s v="rebecca.figueroa@outlook.com"/>
    <s v="3959 Bell Dale, North Jacob, LA 07934"/>
    <s v="OID4147"/>
    <x v="261"/>
    <s v="03:23:04"/>
    <x v="46"/>
    <n v="20"/>
    <n v="2"/>
    <x v="2"/>
    <s v="0 delivery charge"/>
    <n v="5"/>
    <x v="1"/>
    <n v="55"/>
    <d v="2024-12-03T00:00:00"/>
    <n v="6"/>
    <s v="05:02:16"/>
    <n v="55"/>
    <n v="40"/>
    <n v="95"/>
    <n v="40"/>
  </r>
  <r>
    <x v="22"/>
    <s v="Ashley Rose"/>
    <s v="Ashley"/>
    <s v="Rose"/>
    <n v="60"/>
    <x v="2"/>
    <x v="0"/>
    <s v="ashley.rose@gmail.com"/>
    <s v="424 Nichols Curve Suite 177, Lake Brianview, TX 17289"/>
    <s v="OID3681"/>
    <x v="11"/>
    <s v="08:45:23"/>
    <x v="42"/>
    <n v="235.63"/>
    <n v="1"/>
    <x v="4"/>
    <s v="10%"/>
    <n v="1"/>
    <x v="1"/>
    <n v="38"/>
    <d v="2024-07-31T00:00:00"/>
    <n v="6"/>
    <s v="15:13:07"/>
    <n v="27.363"/>
    <n v="235.63"/>
    <n v="273.63"/>
    <n v="246.267"/>
  </r>
  <r>
    <x v="82"/>
    <s v="Brendan Kelly"/>
    <s v="Brendan"/>
    <s v="Kelly"/>
    <n v="50"/>
    <x v="2"/>
    <x v="6"/>
    <s v="brendan.kelly@rediffmail.com"/>
    <s v="688 Donald Oval Suite 089, Shepardport, CA 50844"/>
    <s v="OID5229"/>
    <x v="262"/>
    <s v="08:36:31"/>
    <x v="49"/>
    <n v="33.49"/>
    <n v="4"/>
    <x v="1"/>
    <s v="15%"/>
    <n v="4"/>
    <x v="1"/>
    <n v="67"/>
    <d v="2024-01-03T00:00:00"/>
    <n v="5"/>
    <s v="19:33:15"/>
    <n v="30.144000000000005"/>
    <n v="133.96"/>
    <n v="200.96"/>
    <n v="170.816"/>
  </r>
  <r>
    <x v="30"/>
    <s v="Julie Meyer"/>
    <s v="Julie"/>
    <s v="Meyer"/>
    <n v="23"/>
    <x v="0"/>
    <x v="0"/>
    <s v="julie.meyer@yahoo.com"/>
    <s v="17381 Smith Ramp Suite 398, Courtneyville, AL 17756"/>
    <s v="OID9990"/>
    <x v="183"/>
    <s v="21:53:54"/>
    <x v="34"/>
    <n v="136.30000000000001"/>
    <n v="4"/>
    <x v="4"/>
    <s v="10%"/>
    <n v="1"/>
    <x v="1"/>
    <n v="35"/>
    <d v="2023-12-15T00:00:00"/>
    <n v="4"/>
    <s v="23:00:06"/>
    <n v="58.019999999999982"/>
    <n v="545.20000000000005"/>
    <n v="580.20000000000005"/>
    <n v="522.18000000000006"/>
  </r>
  <r>
    <x v="76"/>
    <s v="Natasha Michael"/>
    <s v="Natasha"/>
    <s v="Michael"/>
    <n v="49"/>
    <x v="0"/>
    <x v="1"/>
    <s v="natasha.michael@gmail.com"/>
    <s v="78992 Justin Estates Suite 226, Floresberg, NM 40797"/>
    <s v="OID1756"/>
    <x v="263"/>
    <s v="10:58:30"/>
    <x v="18"/>
    <n v="282.63"/>
    <n v="4"/>
    <x v="4"/>
    <s v="10%"/>
    <n v="1"/>
    <x v="1"/>
    <n v="48"/>
    <d v="2023-07-18T00:00:00"/>
    <n v="3"/>
    <s v="13:36:46"/>
    <n v="117.85199999999986"/>
    <n v="1130.52"/>
    <n v="1178.52"/>
    <n v="1060.6680000000001"/>
  </r>
  <r>
    <x v="72"/>
    <s v="Leslie Montgomery"/>
    <s v="Leslie"/>
    <s v="Montgomery"/>
    <n v="26"/>
    <x v="1"/>
    <x v="5"/>
    <s v="leslie.montgomery@gmail.com"/>
    <s v="135 Teresa Oval Apt. 825, East Katherineport, WY 13714"/>
    <s v="OID1866"/>
    <x v="264"/>
    <s v="05:53:55"/>
    <x v="12"/>
    <n v="272.51"/>
    <n v="5"/>
    <x v="4"/>
    <s v="10%"/>
    <n v="4"/>
    <x v="0"/>
    <n v="45"/>
    <d v="2024-12-04T00:00:00"/>
    <n v="3"/>
    <s v="02:00:46"/>
    <n v="140.75499999999988"/>
    <n v="1362.55"/>
    <n v="1407.55"/>
    <n v="1266.7950000000001"/>
  </r>
  <r>
    <x v="71"/>
    <s v="James Brown"/>
    <s v="James"/>
    <s v="Brown"/>
    <n v="60"/>
    <x v="0"/>
    <x v="4"/>
    <s v="james.brown@yahoo.com"/>
    <s v="221 Frey Crossing Suite 192, South Taylorland, HI 72875"/>
    <s v="OID2619"/>
    <x v="174"/>
    <s v="11:51:15"/>
    <x v="6"/>
    <n v="275.44"/>
    <n v="2"/>
    <x v="1"/>
    <s v="15%"/>
    <n v="4"/>
    <x v="1"/>
    <n v="54"/>
    <d v="2023-05-13T00:00:00"/>
    <n v="6"/>
    <s v="10:20:47"/>
    <n v="90.731999999999971"/>
    <n v="550.88"/>
    <n v="604.88"/>
    <n v="514.14800000000002"/>
  </r>
  <r>
    <x v="33"/>
    <s v="Timothy Hicks"/>
    <s v="Timothy"/>
    <s v="Hicks"/>
    <n v="31"/>
    <x v="2"/>
    <x v="4"/>
    <s v="timothy.hicks@gmail.com"/>
    <s v="140 Tracy Fields, Lake Cynthiaton, TX 57190"/>
    <s v="OID2505"/>
    <x v="265"/>
    <s v="12:37:13"/>
    <x v="35"/>
    <n v="441.03"/>
    <n v="2"/>
    <x v="0"/>
    <s v="8%"/>
    <n v="3"/>
    <x v="2"/>
    <n v="62"/>
    <d v="2023-08-13T00:00:00"/>
    <n v="3"/>
    <s v="14:41:40"/>
    <n v="75.524799999999914"/>
    <n v="882.06"/>
    <n v="944.06"/>
    <n v="868.53520000000003"/>
  </r>
  <r>
    <x v="36"/>
    <s v="Jason Lopez"/>
    <s v="Jason"/>
    <s v="Lopez"/>
    <n v="40"/>
    <x v="2"/>
    <x v="6"/>
    <s v="jason.lopez@outlook.com"/>
    <s v="934 Levine View, Brentport, NE 38210"/>
    <s v="OID7850"/>
    <x v="177"/>
    <s v="14:59:43"/>
    <x v="23"/>
    <n v="129.75"/>
    <n v="2"/>
    <x v="1"/>
    <s v="15%"/>
    <n v="1"/>
    <x v="1"/>
    <n v="62"/>
    <d v="2023-12-30T00:00:00"/>
    <n v="5"/>
    <s v="06:29:31"/>
    <n v="48.225000000000023"/>
    <n v="259.5"/>
    <n v="321.5"/>
    <n v="273.27499999999998"/>
  </r>
  <r>
    <x v="88"/>
    <s v="Veronica Lopez"/>
    <s v="Veronica"/>
    <s v="Lopez"/>
    <n v="18"/>
    <x v="1"/>
    <x v="7"/>
    <s v="veronica.lopez@gmail.com"/>
    <s v="660 Karen Station Apt. 887, Allenside, ID 03170"/>
    <s v="OID1966"/>
    <x v="266"/>
    <s v="14:04:30"/>
    <x v="38"/>
    <n v="477.52"/>
    <n v="3"/>
    <x v="3"/>
    <s v="20%"/>
    <n v="7"/>
    <x v="0"/>
    <n v="41"/>
    <d v="2025-01-29T00:00:00"/>
    <n v="4"/>
    <s v="02:17:23"/>
    <n v="294.71199999999999"/>
    <n v="1432.56"/>
    <n v="1473.56"/>
    <n v="1178.848"/>
  </r>
  <r>
    <x v="48"/>
    <s v="Sharon Thompson"/>
    <s v="Sharon"/>
    <s v="Thompson"/>
    <n v="57"/>
    <x v="1"/>
    <x v="7"/>
    <s v="sharon.thompson@yahoo.com"/>
    <s v="598 Jasmine Harbor, Turnerberg, SD 02371"/>
    <s v="OID3837"/>
    <x v="201"/>
    <s v="19:09:08"/>
    <x v="48"/>
    <n v="107.47"/>
    <n v="3"/>
    <x v="4"/>
    <s v="10%"/>
    <n v="4"/>
    <x v="0"/>
    <n v="59"/>
    <d v="2024-06-11T00:00:00"/>
    <n v="1"/>
    <s v="23:23:19"/>
    <n v="38.140999999999963"/>
    <n v="322.40999999999997"/>
    <n v="381.40999999999997"/>
    <n v="343.26900000000001"/>
  </r>
  <r>
    <x v="68"/>
    <s v="Kristina Haynes"/>
    <s v="Kristina"/>
    <s v="Haynes"/>
    <n v="27"/>
    <x v="0"/>
    <x v="1"/>
    <s v="kristina.haynes@yahoo.com"/>
    <s v="18295 Thomas River, Kochville, NH 80868"/>
    <s v="OID9187"/>
    <x v="27"/>
    <s v="23:47:36"/>
    <x v="22"/>
    <n v="158.53"/>
    <n v="2"/>
    <x v="0"/>
    <s v="8%"/>
    <n v="2"/>
    <x v="2"/>
    <n v="56"/>
    <d v="2023-09-18T00:00:00"/>
    <n v="2"/>
    <s v="04:39:51"/>
    <n v="29.844799999999964"/>
    <n v="317.06"/>
    <n v="373.06"/>
    <n v="343.21520000000004"/>
  </r>
  <r>
    <x v="90"/>
    <s v="Lauren Lane"/>
    <s v="Lauren"/>
    <s v="Lane"/>
    <n v="30"/>
    <x v="0"/>
    <x v="7"/>
    <s v="lauren.lane@gmail.com"/>
    <s v="56985 Sergio Extensions, Port Albert, CO 02898"/>
    <s v="OID3760"/>
    <x v="267"/>
    <s v="09:05:02"/>
    <x v="35"/>
    <n v="441.03"/>
    <n v="2"/>
    <x v="2"/>
    <s v="0 delivery charge"/>
    <n v="4"/>
    <x v="1"/>
    <n v="55"/>
    <d v="2024-05-17T00:00:00"/>
    <n v="6"/>
    <s v="05:31:50"/>
    <n v="55"/>
    <n v="882.06"/>
    <n v="937.06"/>
    <n v="882.06"/>
  </r>
  <r>
    <x v="67"/>
    <s v="Barbara Fuller"/>
    <s v="Barbara"/>
    <s v="Fuller"/>
    <n v="43"/>
    <x v="2"/>
    <x v="5"/>
    <s v="barbara.fuller@rediffmail.com"/>
    <s v="134 Mcintosh Unions Suite 574, Lake Laura, DE 96577"/>
    <s v="OID7065"/>
    <x v="16"/>
    <s v="09:15:42"/>
    <x v="32"/>
    <n v="87.09"/>
    <n v="5"/>
    <x v="2"/>
    <s v="0 delivery charge"/>
    <n v="7"/>
    <x v="0"/>
    <n v="56"/>
    <d v="2023-02-14T00:00:00"/>
    <n v="5"/>
    <s v="09:33:25"/>
    <n v="56"/>
    <n v="435.45000000000005"/>
    <n v="491.45000000000005"/>
    <n v="435.45000000000005"/>
  </r>
  <r>
    <x v="21"/>
    <s v="Angela Evans"/>
    <s v="Angela"/>
    <s v="Evans"/>
    <n v="52"/>
    <x v="2"/>
    <x v="1"/>
    <s v="angela.evans@outlook.com"/>
    <s v="16031 David Mountain Suite 431, Susanborough, PA 01910"/>
    <s v="OID6906"/>
    <x v="268"/>
    <s v="16:29:18"/>
    <x v="13"/>
    <n v="104.18"/>
    <n v="4"/>
    <x v="2"/>
    <s v="0 delivery charge"/>
    <n v="3"/>
    <x v="1"/>
    <n v="40"/>
    <d v="2024-01-17T00:00:00"/>
    <n v="5"/>
    <s v="19:58:19"/>
    <n v="40"/>
    <n v="416.72"/>
    <n v="456.72"/>
    <n v="416.72"/>
  </r>
  <r>
    <x v="50"/>
    <s v="Katherine Weber"/>
    <s v="Katherine"/>
    <s v="Weber"/>
    <n v="42"/>
    <x v="2"/>
    <x v="2"/>
    <s v="katherine.weber@outlook.com"/>
    <s v="04887 Kimberly Union Apt. 645, Port Laura, IL 97219"/>
    <s v="OID7996"/>
    <x v="269"/>
    <s v="17:23:49"/>
    <x v="49"/>
    <n v="33.49"/>
    <n v="1"/>
    <x v="3"/>
    <s v="20%"/>
    <n v="4"/>
    <x v="0"/>
    <n v="61"/>
    <d v="2025-01-11T00:00:00"/>
    <n v="2"/>
    <s v="01:46:13"/>
    <n v="18.897999999999996"/>
    <n v="33.49"/>
    <n v="94.490000000000009"/>
    <n v="75.592000000000013"/>
  </r>
  <r>
    <x v="90"/>
    <s v="Lauren Lane"/>
    <s v="Lauren"/>
    <s v="Lane"/>
    <n v="30"/>
    <x v="0"/>
    <x v="7"/>
    <s v="lauren.lane@gmail.com"/>
    <s v="56985 Sergio Extensions, Port Albert, CO 02898"/>
    <s v="OID9247"/>
    <x v="203"/>
    <s v="06:51:49"/>
    <x v="41"/>
    <n v="433.62"/>
    <n v="4"/>
    <x v="2"/>
    <s v="0 delivery charge"/>
    <n v="1"/>
    <x v="1"/>
    <n v="56"/>
    <d v="2024-04-10T00:00:00"/>
    <n v="6"/>
    <s v="08:40:53"/>
    <n v="56"/>
    <n v="1734.48"/>
    <n v="1790.48"/>
    <n v="1734.48"/>
  </r>
  <r>
    <x v="81"/>
    <s v="Thomas Owens"/>
    <s v="Thomas"/>
    <s v="Owens"/>
    <n v="34"/>
    <x v="2"/>
    <x v="7"/>
    <s v="thomas.owens@outlook.com"/>
    <s v="43920 Shaffer Valley Suite 531, South Jerry, MD 67120"/>
    <s v="OID7303"/>
    <x v="270"/>
    <s v="23:40:03"/>
    <x v="14"/>
    <n v="20.7"/>
    <n v="1"/>
    <x v="2"/>
    <s v="0 delivery charge"/>
    <n v="5"/>
    <x v="0"/>
    <n v="51"/>
    <d v="2023-06-09T00:00:00"/>
    <n v="1"/>
    <s v="09:33:08"/>
    <n v="51"/>
    <n v="20.7"/>
    <n v="71.7"/>
    <n v="20.700000000000003"/>
  </r>
  <r>
    <x v="41"/>
    <s v="Marcus Rogers"/>
    <s v="Marcus"/>
    <s v="Rogers"/>
    <n v="36"/>
    <x v="1"/>
    <x v="0"/>
    <s v="marcus.rogers@outlook.com"/>
    <s v="06912 Brown Pine Apt. 763, Teresamouth, HI 24377"/>
    <s v="OID2173"/>
    <x v="271"/>
    <s v="00:41:18"/>
    <x v="35"/>
    <n v="441.03"/>
    <n v="2"/>
    <x v="4"/>
    <s v="10%"/>
    <n v="4"/>
    <x v="1"/>
    <n v="60"/>
    <d v="2023-04-17T00:00:00"/>
    <n v="5"/>
    <s v="09:19:40"/>
    <n v="94.206000000000017"/>
    <n v="882.06"/>
    <n v="942.06"/>
    <n v="847.85399999999993"/>
  </r>
  <r>
    <x v="82"/>
    <s v="Brendan Kelly"/>
    <s v="Brendan"/>
    <s v="Kelly"/>
    <n v="50"/>
    <x v="2"/>
    <x v="6"/>
    <s v="brendan.kelly@rediffmail.com"/>
    <s v="688 Donald Oval Suite 089, Shepardport, CA 50844"/>
    <s v="OID5367"/>
    <x v="89"/>
    <s v="23:27:24"/>
    <x v="41"/>
    <n v="433.62"/>
    <n v="2"/>
    <x v="2"/>
    <s v="0 delivery charge"/>
    <n v="1"/>
    <x v="1"/>
    <n v="46"/>
    <d v="2023-09-17T00:00:00"/>
    <n v="3"/>
    <s v="06:00:22"/>
    <n v="46"/>
    <n v="867.24"/>
    <n v="913.24"/>
    <n v="867.24"/>
  </r>
  <r>
    <x v="18"/>
    <s v="Christian Clayton"/>
    <s v="Christian"/>
    <s v="Clayton"/>
    <n v="39"/>
    <x v="1"/>
    <x v="5"/>
    <s v="christian.clayton@yahoo.com"/>
    <s v="065 Madison Way, Smithstad, CT 68011"/>
    <s v="OID9748"/>
    <x v="272"/>
    <s v="02:46:27"/>
    <x v="43"/>
    <n v="424.82"/>
    <n v="5"/>
    <x v="4"/>
    <s v="10%"/>
    <n v="7"/>
    <x v="0"/>
    <n v="37"/>
    <d v="2024-04-11T00:00:00"/>
    <n v="6"/>
    <s v="06:40:47"/>
    <n v="216.1099999999999"/>
    <n v="2124.1"/>
    <n v="2161.1"/>
    <n v="1944.99"/>
  </r>
  <r>
    <x v="60"/>
    <s v="Christy Chang"/>
    <s v="Christy"/>
    <s v="Chang"/>
    <n v="38"/>
    <x v="1"/>
    <x v="7"/>
    <s v="christy.chang@outlook.com"/>
    <s v="4647 Hannah Centers, Rhodesburgh, NH 89363"/>
    <s v="OID6469"/>
    <x v="273"/>
    <s v="06:59:53"/>
    <x v="41"/>
    <n v="433.62"/>
    <n v="3"/>
    <x v="4"/>
    <s v="10%"/>
    <n v="2"/>
    <x v="1"/>
    <n v="39"/>
    <d v="2024-07-26T00:00:00"/>
    <n v="3"/>
    <s v="21:07:49"/>
    <n v="133.98599999999988"/>
    <n v="1300.8600000000001"/>
    <n v="1339.8600000000001"/>
    <n v="1205.8740000000003"/>
  </r>
  <r>
    <x v="73"/>
    <s v="Susan Thompson"/>
    <s v="Susan"/>
    <s v="Thompson"/>
    <n v="37"/>
    <x v="2"/>
    <x v="7"/>
    <s v="susan.thompson@outlook.com"/>
    <s v="47821 William Station, East Ashleymouth, FL 20562"/>
    <s v="OID1013"/>
    <x v="274"/>
    <s v="20:28:31"/>
    <x v="42"/>
    <n v="235.63"/>
    <n v="1"/>
    <x v="3"/>
    <s v="20%"/>
    <n v="5"/>
    <x v="2"/>
    <n v="59"/>
    <d v="2023-09-23T00:00:00"/>
    <n v="5"/>
    <s v="22:26:18"/>
    <n v="58.925999999999988"/>
    <n v="235.63"/>
    <n v="294.63"/>
    <n v="235.70400000000001"/>
  </r>
  <r>
    <x v="89"/>
    <s v="Sarah Benson"/>
    <s v="Sarah"/>
    <s v="Benson"/>
    <n v="40"/>
    <x v="2"/>
    <x v="7"/>
    <s v="sarah.benson@outlook.com"/>
    <s v="5399 Hayes Well, West Pennystad, IL 93798"/>
    <s v="OID1219"/>
    <x v="275"/>
    <s v="13:39:02"/>
    <x v="33"/>
    <n v="421.7"/>
    <n v="5"/>
    <x v="1"/>
    <s v="15%"/>
    <n v="6"/>
    <x v="1"/>
    <n v="58"/>
    <d v="2023-09-28T00:00:00"/>
    <n v="7"/>
    <s v="06:39:28"/>
    <n v="324.97500000000014"/>
    <n v="2108.5"/>
    <n v="2166.5"/>
    <n v="1841.5249999999999"/>
  </r>
  <r>
    <x v="48"/>
    <s v="Sharon Thompson"/>
    <s v="Sharon"/>
    <s v="Thompson"/>
    <n v="57"/>
    <x v="1"/>
    <x v="7"/>
    <s v="sharon.thompson@yahoo.com"/>
    <s v="598 Jasmine Harbor, Turnerberg, SD 02371"/>
    <s v="OID9988"/>
    <x v="253"/>
    <s v="09:27:52"/>
    <x v="25"/>
    <n v="77.84"/>
    <n v="4"/>
    <x v="3"/>
    <s v="20%"/>
    <n v="2"/>
    <x v="1"/>
    <n v="59"/>
    <d v="2024-07-12T00:00:00"/>
    <n v="6"/>
    <s v="20:53:18"/>
    <n v="74.072000000000003"/>
    <n v="311.36"/>
    <n v="370.36"/>
    <n v="296.28800000000001"/>
  </r>
  <r>
    <x v="84"/>
    <s v="Hannah Gutierrez"/>
    <s v="Hannah"/>
    <s v="Gutierrez"/>
    <n v="55"/>
    <x v="1"/>
    <x v="5"/>
    <s v="hannah.gutierrez@yahoo.com"/>
    <s v="2420 David Manors, Jessicaland, CT 41698"/>
    <s v="OID1669"/>
    <x v="276"/>
    <s v="04:59:13"/>
    <x v="32"/>
    <n v="87.09"/>
    <n v="2"/>
    <x v="1"/>
    <s v="15%"/>
    <n v="3"/>
    <x v="1"/>
    <n v="62"/>
    <d v="2023-03-02T00:00:00"/>
    <n v="5"/>
    <s v="16:22:11"/>
    <n v="35.426999999999992"/>
    <n v="174.18"/>
    <n v="236.18"/>
    <n v="200.75300000000001"/>
  </r>
  <r>
    <x v="87"/>
    <s v="Jared Horn"/>
    <s v="Jared"/>
    <s v="Horn"/>
    <n v="43"/>
    <x v="0"/>
    <x v="4"/>
    <s v="jared.horn@outlook.com"/>
    <s v="43325 Barbara Tunnel, Port James, LA 16246"/>
    <s v="OID7329"/>
    <x v="103"/>
    <s v="01:19:42"/>
    <x v="13"/>
    <n v="104.18"/>
    <n v="3"/>
    <x v="4"/>
    <s v="10%"/>
    <n v="6"/>
    <x v="0"/>
    <n v="60"/>
    <d v="2024-04-16T00:00:00"/>
    <n v="1"/>
    <s v="01:52:14"/>
    <n v="37.254000000000019"/>
    <n v="312.54000000000002"/>
    <n v="372.54"/>
    <n v="335.286"/>
  </r>
  <r>
    <x v="70"/>
    <s v="Edward Black"/>
    <s v="Edward"/>
    <s v="Black"/>
    <n v="42"/>
    <x v="0"/>
    <x v="2"/>
    <s v="edward.black@gmail.com"/>
    <s v="5879 Susan Via Apt. 886, Sandovalbury, WV 61449"/>
    <s v="OID2873"/>
    <x v="277"/>
    <s v="05:54:36"/>
    <x v="48"/>
    <n v="107.47"/>
    <n v="3"/>
    <x v="2"/>
    <s v="0 delivery charge"/>
    <n v="4"/>
    <x v="1"/>
    <n v="63"/>
    <d v="2024-07-08T00:00:00"/>
    <n v="7"/>
    <s v="17:18:51"/>
    <n v="63"/>
    <n v="322.40999999999997"/>
    <n v="385.40999999999997"/>
    <n v="322.40999999999997"/>
  </r>
  <r>
    <x v="78"/>
    <s v="Mark Summers"/>
    <s v="Mark"/>
    <s v="Summers"/>
    <n v="55"/>
    <x v="1"/>
    <x v="5"/>
    <s v="mark.summers@outlook.com"/>
    <s v="08413 Lynch Parkway, Calderonstad, NV 32697"/>
    <s v="OID4932"/>
    <x v="144"/>
    <s v="06:50:14"/>
    <x v="7"/>
    <n v="48.45"/>
    <n v="3"/>
    <x v="2"/>
    <s v="0 delivery charge"/>
    <n v="6"/>
    <x v="0"/>
    <n v="58"/>
    <d v="2023-04-30T00:00:00"/>
    <n v="1"/>
    <s v="13:55:34"/>
    <n v="58"/>
    <n v="145.35000000000002"/>
    <n v="203.35000000000002"/>
    <n v="145.35000000000002"/>
  </r>
  <r>
    <x v="40"/>
    <s v="Mary Knight"/>
    <s v="Mary"/>
    <s v="Knight"/>
    <n v="28"/>
    <x v="2"/>
    <x v="2"/>
    <s v="mary.knight@yahoo.com"/>
    <s v="907 Kimberly Hill, Murrayfort, NH 88384"/>
    <s v="OID4169"/>
    <x v="278"/>
    <s v="11:52:12"/>
    <x v="8"/>
    <n v="257.06"/>
    <n v="4"/>
    <x v="4"/>
    <s v="10%"/>
    <n v="6"/>
    <x v="0"/>
    <n v="69"/>
    <d v="2024-11-07T00:00:00"/>
    <n v="3"/>
    <s v="23:25:32"/>
    <n v="109.72399999999993"/>
    <n v="1028.24"/>
    <n v="1097.24"/>
    <n v="987.51600000000008"/>
  </r>
  <r>
    <x v="53"/>
    <s v="Jodi Whitney"/>
    <s v="Jodi"/>
    <s v="Whitney"/>
    <n v="33"/>
    <x v="2"/>
    <x v="6"/>
    <s v="jodi.whitney@yahoo.com"/>
    <s v="72876 Lara Key Suite 383, Gutierrezton, OR 71683"/>
    <s v="OID6945"/>
    <x v="279"/>
    <s v="19:37:21"/>
    <x v="39"/>
    <n v="403.03"/>
    <n v="4"/>
    <x v="4"/>
    <s v="10%"/>
    <n v="7"/>
    <x v="0"/>
    <n v="65"/>
    <d v="2024-09-21T00:00:00"/>
    <n v="3"/>
    <s v="03:13:08"/>
    <n v="167.71199999999999"/>
    <n v="1612.12"/>
    <n v="1677.12"/>
    <n v="1509.4079999999999"/>
  </r>
  <r>
    <x v="60"/>
    <s v="Christy Chang"/>
    <s v="Christy"/>
    <s v="Chang"/>
    <n v="38"/>
    <x v="1"/>
    <x v="7"/>
    <s v="christy.chang@outlook.com"/>
    <s v="4647 Hannah Centers, Rhodesburgh, NH 89363"/>
    <s v="OID6794"/>
    <x v="280"/>
    <s v="15:34:31"/>
    <x v="7"/>
    <n v="48.45"/>
    <n v="1"/>
    <x v="4"/>
    <s v="10%"/>
    <n v="2"/>
    <x v="1"/>
    <n v="41"/>
    <d v="2023-05-16T00:00:00"/>
    <n v="3"/>
    <s v="10:35:02"/>
    <n v="8.9449999999999932"/>
    <n v="48.45"/>
    <n v="89.45"/>
    <n v="80.50500000000001"/>
  </r>
  <r>
    <x v="61"/>
    <s v="Troy Gomez"/>
    <s v="Troy"/>
    <s v="Gomez"/>
    <n v="68"/>
    <x v="0"/>
    <x v="7"/>
    <s v="troy.gomez@outlook.com"/>
    <s v="7510 Jose Knolls, Candicechester, LA 62815"/>
    <s v="OID2412"/>
    <x v="281"/>
    <s v="14:35:45"/>
    <x v="29"/>
    <n v="44.5"/>
    <n v="5"/>
    <x v="4"/>
    <s v="10%"/>
    <n v="4"/>
    <x v="1"/>
    <n v="55"/>
    <d v="2023-03-27T00:00:00"/>
    <n v="5"/>
    <s v="07:09:27"/>
    <n v="27.75"/>
    <n v="222.5"/>
    <n v="277.5"/>
    <n v="249.75"/>
  </r>
  <r>
    <x v="92"/>
    <s v="Lauren Crane"/>
    <s v="Lauren"/>
    <s v="Crane"/>
    <n v="62"/>
    <x v="1"/>
    <x v="1"/>
    <s v="lauren.crane@yahoo.com"/>
    <s v="30313 Reyes Parkways Suite 392, Port Bradley, SC 24078"/>
    <s v="OID8162"/>
    <x v="282"/>
    <s v="07:24:54"/>
    <x v="19"/>
    <n v="128.13999999999999"/>
    <n v="5"/>
    <x v="3"/>
    <s v="20%"/>
    <n v="7"/>
    <x v="2"/>
    <n v="68"/>
    <d v="2025-01-28T00:00:00"/>
    <n v="7"/>
    <s v="03:15:28"/>
    <n v="141.74"/>
    <n v="640.69999999999993"/>
    <n v="708.69999999999993"/>
    <n v="566.95999999999992"/>
  </r>
  <r>
    <x v="67"/>
    <s v="Barbara Fuller"/>
    <s v="Barbara"/>
    <s v="Fuller"/>
    <n v="43"/>
    <x v="2"/>
    <x v="5"/>
    <s v="barbara.fuller@rediffmail.com"/>
    <s v="134 Mcintosh Unions Suite 574, Lake Laura, DE 96577"/>
    <s v="OID8860"/>
    <x v="283"/>
    <s v="06:00:55"/>
    <x v="30"/>
    <n v="369.03"/>
    <n v="2"/>
    <x v="4"/>
    <s v="10%"/>
    <n v="6"/>
    <x v="0"/>
    <n v="55"/>
    <d v="2023-02-24T00:00:00"/>
    <n v="3"/>
    <s v="22:23:18"/>
    <n v="79.305999999999926"/>
    <n v="738.06"/>
    <n v="793.06"/>
    <n v="713.75400000000002"/>
  </r>
  <r>
    <x v="84"/>
    <s v="Hannah Gutierrez"/>
    <s v="Hannah"/>
    <s v="Gutierrez"/>
    <n v="55"/>
    <x v="1"/>
    <x v="5"/>
    <s v="hannah.gutierrez@yahoo.com"/>
    <s v="2420 David Manors, Jessicaland, CT 41698"/>
    <s v="OID2523"/>
    <x v="284"/>
    <s v="05:46:53"/>
    <x v="8"/>
    <n v="257.06"/>
    <n v="1"/>
    <x v="3"/>
    <s v="20%"/>
    <n v="4"/>
    <x v="0"/>
    <n v="42"/>
    <d v="2024-05-11T00:00:00"/>
    <n v="2"/>
    <s v="01:30:58"/>
    <n v="59.811999999999983"/>
    <n v="257.06"/>
    <n v="299.06"/>
    <n v="239.24800000000002"/>
  </r>
  <r>
    <x v="17"/>
    <s v="Deborah Bates"/>
    <s v="Deborah"/>
    <s v="Bates"/>
    <n v="23"/>
    <x v="0"/>
    <x v="3"/>
    <s v="deborah.bates@yahoo.com"/>
    <s v="278 Kathy Estate, Saraville, OH 77292"/>
    <s v="OID7382"/>
    <x v="285"/>
    <s v="08:34:53"/>
    <x v="47"/>
    <n v="292.14999999999998"/>
    <n v="3"/>
    <x v="2"/>
    <s v="0 delivery charge"/>
    <n v="3"/>
    <x v="0"/>
    <n v="51"/>
    <d v="2023-10-28T00:00:00"/>
    <n v="2"/>
    <s v="13:26:32"/>
    <n v="51"/>
    <n v="876.44999999999993"/>
    <n v="927.44999999999993"/>
    <n v="876.44999999999993"/>
  </r>
  <r>
    <x v="85"/>
    <s v="Angela Casey"/>
    <s v="Angela"/>
    <s v="Casey"/>
    <n v="40"/>
    <x v="0"/>
    <x v="2"/>
    <s v="angela.casey@gmail.com"/>
    <s v="089 Farley Terrace, Thomashaven, MT 56607"/>
    <s v="OID7593"/>
    <x v="37"/>
    <s v="15:18:11"/>
    <x v="18"/>
    <n v="282.63"/>
    <n v="2"/>
    <x v="1"/>
    <s v="15%"/>
    <n v="6"/>
    <x v="0"/>
    <n v="62"/>
    <d v="2023-09-25T00:00:00"/>
    <n v="1"/>
    <s v="23:05:05"/>
    <n v="94.089000000000055"/>
    <n v="565.26"/>
    <n v="627.26"/>
    <n v="533.17099999999994"/>
  </r>
  <r>
    <x v="13"/>
    <s v="Erin Miller"/>
    <s v="Erin"/>
    <s v="Miller"/>
    <n v="46"/>
    <x v="0"/>
    <x v="6"/>
    <s v="erin.miller@gmail.com"/>
    <s v="65972 Peterson Route, Port Andrewfurt, SD 32892"/>
    <s v="OID9980"/>
    <x v="286"/>
    <s v="11:00:03"/>
    <x v="12"/>
    <n v="272.51"/>
    <n v="3"/>
    <x v="0"/>
    <s v="8%"/>
    <n v="5"/>
    <x v="1"/>
    <n v="66"/>
    <d v="2024-07-06T00:00:00"/>
    <n v="6"/>
    <s v="15:17:48"/>
    <n v="70.682399999999916"/>
    <n v="817.53"/>
    <n v="883.53"/>
    <n v="812.84760000000006"/>
  </r>
  <r>
    <x v="39"/>
    <s v="Amanda Howard"/>
    <s v="Amanda"/>
    <s v="Howard"/>
    <n v="52"/>
    <x v="2"/>
    <x v="7"/>
    <s v="amanda.howard@outlook.com"/>
    <s v="56908 Sydney Park Suite 632, West Anthonyport, NC 15954"/>
    <s v="OID2440"/>
    <x v="287"/>
    <s v="08:26:50"/>
    <x v="4"/>
    <n v="330.11"/>
    <n v="2"/>
    <x v="2"/>
    <s v="0 delivery charge"/>
    <n v="3"/>
    <x v="0"/>
    <n v="55"/>
    <d v="2023-02-19T00:00:00"/>
    <n v="1"/>
    <s v="19:28:55"/>
    <n v="55"/>
    <n v="660.22"/>
    <n v="715.22"/>
    <n v="660.22"/>
  </r>
  <r>
    <x v="12"/>
    <s v="Joshua Campbell"/>
    <s v="Joshua"/>
    <s v="Campbell"/>
    <n v="24"/>
    <x v="0"/>
    <x v="5"/>
    <s v="joshua.campbell@gmail.com"/>
    <s v="70426 Lindsey Overpass Apt. 030, Jessicafurt, AR 46269"/>
    <s v="OID7256"/>
    <x v="288"/>
    <s v="00:24:43"/>
    <x v="16"/>
    <n v="132.97"/>
    <n v="2"/>
    <x v="1"/>
    <s v="15%"/>
    <n v="4"/>
    <x v="0"/>
    <n v="40"/>
    <d v="2024-07-14T00:00:00"/>
    <n v="2"/>
    <s v="08:45:35"/>
    <n v="45.89100000000002"/>
    <n v="265.94"/>
    <n v="305.94"/>
    <n v="260.04899999999998"/>
  </r>
  <r>
    <x v="52"/>
    <s v="Brandon Cruz"/>
    <s v="Brandon"/>
    <s v="Cruz"/>
    <n v="32"/>
    <x v="2"/>
    <x v="3"/>
    <s v="brandon.cruz@gmail.com"/>
    <s v="9296 Villanueva Branch, East Kevin, CO 93912"/>
    <s v="OID6854"/>
    <x v="289"/>
    <s v="10:05:03"/>
    <x v="32"/>
    <n v="87.09"/>
    <n v="2"/>
    <x v="2"/>
    <s v="0 delivery charge"/>
    <n v="4"/>
    <x v="2"/>
    <n v="67"/>
    <d v="2023-03-25T00:00:00"/>
    <n v="4"/>
    <s v="10:06:44"/>
    <n v="67"/>
    <n v="174.18"/>
    <n v="241.18"/>
    <n v="174.18"/>
  </r>
  <r>
    <x v="30"/>
    <s v="Julie Meyer"/>
    <s v="Julie"/>
    <s v="Meyer"/>
    <n v="23"/>
    <x v="0"/>
    <x v="0"/>
    <s v="julie.meyer@yahoo.com"/>
    <s v="17381 Smith Ramp Suite 398, Courtneyville, AL 17756"/>
    <s v="OID9600"/>
    <x v="290"/>
    <s v="04:19:31"/>
    <x v="48"/>
    <n v="107.47"/>
    <n v="5"/>
    <x v="0"/>
    <s v="8%"/>
    <n v="4"/>
    <x v="1"/>
    <n v="37"/>
    <d v="2024-12-02T00:00:00"/>
    <n v="6"/>
    <s v="17:52:11"/>
    <n v="45.947999999999979"/>
    <n v="537.35"/>
    <n v="574.35"/>
    <n v="528.40200000000004"/>
  </r>
  <r>
    <x v="66"/>
    <s v="Melissa Levy"/>
    <s v="Melissa"/>
    <s v="Levy"/>
    <n v="30"/>
    <x v="0"/>
    <x v="5"/>
    <s v="melissa.levy@rediffmail.com"/>
    <s v="3303 Kennedy Springs Suite 830, East Amybury, MI 95595"/>
    <s v="OID3186"/>
    <x v="198"/>
    <s v="17:14:37"/>
    <x v="48"/>
    <n v="107.47"/>
    <n v="5"/>
    <x v="4"/>
    <s v="10%"/>
    <n v="4"/>
    <x v="1"/>
    <n v="47"/>
    <d v="2024-05-12T00:00:00"/>
    <n v="7"/>
    <s v="12:54:21"/>
    <n v="58.434999999999945"/>
    <n v="537.35"/>
    <n v="584.35"/>
    <n v="525.91500000000008"/>
  </r>
  <r>
    <x v="59"/>
    <s v="Beth Mason"/>
    <s v="Beth"/>
    <s v="Mason"/>
    <n v="45"/>
    <x v="2"/>
    <x v="3"/>
    <s v="beth.mason@outlook.com"/>
    <s v="58998 Sherry Haven, East Richard, FL 90775"/>
    <s v="OID1420"/>
    <x v="291"/>
    <s v="18:45:41"/>
    <x v="37"/>
    <n v="133.62"/>
    <n v="1"/>
    <x v="1"/>
    <s v="15%"/>
    <n v="5"/>
    <x v="2"/>
    <n v="39"/>
    <d v="2024-06-08T00:00:00"/>
    <n v="5"/>
    <s v="21:20:42"/>
    <n v="25.893000000000001"/>
    <n v="133.62"/>
    <n v="172.62"/>
    <n v="146.727"/>
  </r>
  <r>
    <x v="40"/>
    <s v="Mary Knight"/>
    <s v="Mary"/>
    <s v="Knight"/>
    <n v="28"/>
    <x v="2"/>
    <x v="2"/>
    <s v="mary.knight@yahoo.com"/>
    <s v="907 Kimberly Hill, Murrayfort, NH 88384"/>
    <s v="OID4436"/>
    <x v="292"/>
    <s v="23:43:28"/>
    <x v="6"/>
    <n v="275.44"/>
    <n v="2"/>
    <x v="3"/>
    <s v="20%"/>
    <n v="3"/>
    <x v="1"/>
    <n v="43"/>
    <d v="2023-11-21T00:00:00"/>
    <n v="4"/>
    <s v="12:35:16"/>
    <n v="118.77599999999995"/>
    <n v="550.88"/>
    <n v="593.88"/>
    <n v="475.10400000000004"/>
  </r>
  <r>
    <x v="75"/>
    <s v="Rachael Robinson"/>
    <s v="Rachael"/>
    <s v="Robinson"/>
    <n v="24"/>
    <x v="2"/>
    <x v="7"/>
    <s v="rachael.robinson@rediffmail.com"/>
    <s v="0889 Brady Points, Port Meganhaven, NM 26553"/>
    <s v="OID6410"/>
    <x v="96"/>
    <s v="06:38:04"/>
    <x v="4"/>
    <n v="330.11"/>
    <n v="3"/>
    <x v="1"/>
    <s v="15%"/>
    <n v="2"/>
    <x v="1"/>
    <n v="56"/>
    <d v="2023-07-10T00:00:00"/>
    <n v="4"/>
    <s v="08:13:41"/>
    <n v="156.94950000000006"/>
    <n v="990.33"/>
    <n v="1046.33"/>
    <n v="889.38049999999987"/>
  </r>
  <r>
    <x v="40"/>
    <s v="Mary Knight"/>
    <s v="Mary"/>
    <s v="Knight"/>
    <n v="28"/>
    <x v="2"/>
    <x v="2"/>
    <s v="mary.knight@yahoo.com"/>
    <s v="907 Kimberly Hill, Murrayfort, NH 88384"/>
    <s v="OID4538"/>
    <x v="85"/>
    <s v="12:27:25"/>
    <x v="12"/>
    <n v="272.51"/>
    <n v="3"/>
    <x v="0"/>
    <s v="8%"/>
    <n v="6"/>
    <x v="0"/>
    <n v="44"/>
    <d v="2024-01-19T00:00:00"/>
    <n v="3"/>
    <s v="23:59:41"/>
    <n v="68.922399999999925"/>
    <n v="817.53"/>
    <n v="861.53"/>
    <n v="792.60760000000005"/>
  </r>
  <r>
    <x v="63"/>
    <s v="Gregory Lee"/>
    <s v="Gregory"/>
    <s v="Lee"/>
    <n v="26"/>
    <x v="2"/>
    <x v="2"/>
    <s v="gregory.lee@rediffmail.com"/>
    <s v="619 Parker Turnpike Apt. 025, West Brucehaven, ID 48437"/>
    <s v="OID8225"/>
    <x v="293"/>
    <s v="10:41:43"/>
    <x v="9"/>
    <n v="175.93"/>
    <n v="4"/>
    <x v="3"/>
    <s v="20%"/>
    <n v="6"/>
    <x v="0"/>
    <n v="54"/>
    <d v="2023-11-10T00:00:00"/>
    <n v="2"/>
    <s v="19:20:26"/>
    <n v="151.54399999999998"/>
    <n v="703.72"/>
    <n v="757.72"/>
    <n v="606.17600000000004"/>
  </r>
  <r>
    <x v="92"/>
    <s v="Lauren Crane"/>
    <s v="Lauren"/>
    <s v="Crane"/>
    <n v="62"/>
    <x v="1"/>
    <x v="1"/>
    <s v="lauren.crane@yahoo.com"/>
    <s v="30313 Reyes Parkways Suite 392, Port Bradley, SC 24078"/>
    <s v="OID2099"/>
    <x v="7"/>
    <s v="09:19:53"/>
    <x v="30"/>
    <n v="369.03"/>
    <n v="3"/>
    <x v="0"/>
    <s v="8%"/>
    <n v="6"/>
    <x v="0"/>
    <n v="57"/>
    <d v="2024-06-18T00:00:00"/>
    <n v="2"/>
    <s v="14:30:24"/>
    <n v="93.127199999999903"/>
    <n v="1107.0899999999999"/>
    <n v="1164.0899999999999"/>
    <n v="1070.9628"/>
  </r>
  <r>
    <x v="89"/>
    <s v="Sarah Benson"/>
    <s v="Sarah"/>
    <s v="Benson"/>
    <n v="40"/>
    <x v="2"/>
    <x v="7"/>
    <s v="sarah.benson@outlook.com"/>
    <s v="5399 Hayes Well, West Pennystad, IL 93798"/>
    <s v="OID9222"/>
    <x v="8"/>
    <s v="11:38:36"/>
    <x v="26"/>
    <n v="372.62"/>
    <n v="2"/>
    <x v="3"/>
    <s v="20%"/>
    <n v="2"/>
    <x v="0"/>
    <n v="47"/>
    <d v="2023-04-25T00:00:00"/>
    <n v="1"/>
    <s v="21:12:03"/>
    <n v="158.44799999999998"/>
    <n v="745.24"/>
    <n v="792.24"/>
    <n v="633.79200000000003"/>
  </r>
  <r>
    <x v="31"/>
    <s v="Donna Oneill"/>
    <s v="Donna"/>
    <s v="Oneill"/>
    <n v="70"/>
    <x v="0"/>
    <x v="6"/>
    <s v="donna.oneill@yahoo.com"/>
    <s v="464 Carolyn Crest Suite 738, Lake Isaiah, CA 66153"/>
    <s v="OID3523"/>
    <x v="294"/>
    <s v="10:33:52"/>
    <x v="29"/>
    <n v="44.5"/>
    <n v="1"/>
    <x v="2"/>
    <s v="0 delivery charge"/>
    <n v="1"/>
    <x v="1"/>
    <n v="37"/>
    <d v="2023-12-17T00:00:00"/>
    <n v="7"/>
    <s v="11:21:30"/>
    <n v="37"/>
    <n v="44.5"/>
    <n v="81.5"/>
    <n v="44.5"/>
  </r>
  <r>
    <x v="45"/>
    <s v="Debra Hayes"/>
    <s v="Debra"/>
    <s v="Hayes"/>
    <n v="33"/>
    <x v="0"/>
    <x v="6"/>
    <s v="debra.hayes@yahoo.com"/>
    <s v="4601 Miller Lock, Williamsbury, IA 10943"/>
    <s v="OID3834"/>
    <x v="166"/>
    <s v="22:42:39"/>
    <x v="21"/>
    <n v="157.63999999999999"/>
    <n v="1"/>
    <x v="4"/>
    <s v="10%"/>
    <n v="7"/>
    <x v="2"/>
    <n v="48"/>
    <d v="2023-05-21T00:00:00"/>
    <n v="7"/>
    <s v="23:12:16"/>
    <n v="20.563999999999993"/>
    <n v="157.63999999999999"/>
    <n v="205.64"/>
    <n v="185.07599999999999"/>
  </r>
  <r>
    <x v="16"/>
    <s v="Traci Jones"/>
    <s v="Traci"/>
    <s v="Jones"/>
    <n v="34"/>
    <x v="0"/>
    <x v="3"/>
    <s v="traci.jones@yahoo.com"/>
    <s v="4016 Ryan Passage, Collinsside, PA 88777"/>
    <s v="OID9975"/>
    <x v="295"/>
    <s v="09:31:29"/>
    <x v="14"/>
    <n v="20.7"/>
    <n v="3"/>
    <x v="0"/>
    <s v="8%"/>
    <n v="5"/>
    <x v="0"/>
    <n v="46"/>
    <d v="2023-11-15T00:00:00"/>
    <n v="2"/>
    <s v="07:20:39"/>
    <n v="8.6479999999999961"/>
    <n v="62.099999999999994"/>
    <n v="108.1"/>
    <n v="99.451999999999998"/>
  </r>
  <r>
    <x v="58"/>
    <s v="Amy Ellis"/>
    <s v="Amy"/>
    <s v="Ellis"/>
    <n v="44"/>
    <x v="2"/>
    <x v="3"/>
    <s v="amy.ellis@gmail.com"/>
    <s v="217 Scott Ville, Christophermouth, NH 83776"/>
    <s v="OID6893"/>
    <x v="296"/>
    <s v="09:19:46"/>
    <x v="19"/>
    <n v="128.13999999999999"/>
    <n v="3"/>
    <x v="3"/>
    <s v="20%"/>
    <n v="2"/>
    <x v="1"/>
    <n v="49"/>
    <d v="2023-12-10T00:00:00"/>
    <n v="6"/>
    <s v="02:07:12"/>
    <n v="86.683999999999969"/>
    <n v="384.41999999999996"/>
    <n v="433.41999999999996"/>
    <n v="346.73599999999999"/>
  </r>
  <r>
    <x v="59"/>
    <s v="Beth Mason"/>
    <s v="Beth"/>
    <s v="Mason"/>
    <n v="45"/>
    <x v="2"/>
    <x v="3"/>
    <s v="beth.mason@outlook.com"/>
    <s v="58998 Sherry Haven, East Richard, FL 90775"/>
    <s v="OID8192"/>
    <x v="297"/>
    <s v="21:14:38"/>
    <x v="21"/>
    <n v="157.63999999999999"/>
    <n v="3"/>
    <x v="0"/>
    <s v="8%"/>
    <n v="4"/>
    <x v="0"/>
    <n v="66"/>
    <d v="2024-04-23T00:00:00"/>
    <n v="1"/>
    <s v="11:28:09"/>
    <n v="43.113599999999963"/>
    <n v="472.91999999999996"/>
    <n v="538.91999999999996"/>
    <n v="495.8064"/>
  </r>
  <r>
    <x v="1"/>
    <s v="Anthony Thomas"/>
    <s v="Anthony"/>
    <s v="Thomas"/>
    <n v="53"/>
    <x v="1"/>
    <x v="1"/>
    <s v="anthony.thomas@rediffmail.com"/>
    <s v="931 Christopher Ways Suite 833, North Michelle, IN 53484"/>
    <s v="OID7904"/>
    <x v="298"/>
    <s v="15:58:53"/>
    <x v="26"/>
    <n v="372.62"/>
    <n v="1"/>
    <x v="4"/>
    <s v="10%"/>
    <n v="1"/>
    <x v="1"/>
    <n v="66"/>
    <d v="2024-06-28T00:00:00"/>
    <n v="2"/>
    <s v="14:14:53"/>
    <n v="43.861999999999966"/>
    <n v="372.62"/>
    <n v="438.62"/>
    <n v="394.75800000000004"/>
  </r>
  <r>
    <x v="92"/>
    <s v="Lauren Crane"/>
    <s v="Lauren"/>
    <s v="Crane"/>
    <n v="62"/>
    <x v="1"/>
    <x v="1"/>
    <s v="lauren.crane@yahoo.com"/>
    <s v="30313 Reyes Parkways Suite 392, Port Bradley, SC 24078"/>
    <s v="OID5999"/>
    <x v="299"/>
    <s v="17:44:01"/>
    <x v="5"/>
    <n v="363.64"/>
    <n v="4"/>
    <x v="2"/>
    <s v="0 delivery charge"/>
    <n v="6"/>
    <x v="0"/>
    <n v="56"/>
    <d v="2023-07-14T00:00:00"/>
    <n v="5"/>
    <s v="16:03:33"/>
    <n v="56"/>
    <n v="1454.56"/>
    <n v="1510.56"/>
    <n v="1454.56"/>
  </r>
  <r>
    <x v="21"/>
    <s v="Angela Evans"/>
    <s v="Angela"/>
    <s v="Evans"/>
    <n v="52"/>
    <x v="2"/>
    <x v="1"/>
    <s v="angela.evans@outlook.com"/>
    <s v="16031 David Mountain Suite 431, Susanborough, PA 01910"/>
    <s v="OID7409"/>
    <x v="103"/>
    <s v="02:54:23"/>
    <x v="31"/>
    <n v="286.07"/>
    <n v="5"/>
    <x v="2"/>
    <s v="0 delivery charge"/>
    <n v="1"/>
    <x v="1"/>
    <n v="41"/>
    <d v="2024-04-22T00:00:00"/>
    <n v="7"/>
    <s v="18:15:03"/>
    <n v="41"/>
    <n v="1430.35"/>
    <n v="1471.35"/>
    <n v="1430.35"/>
  </r>
  <r>
    <x v="53"/>
    <s v="Jodi Whitney"/>
    <s v="Jodi"/>
    <s v="Whitney"/>
    <n v="33"/>
    <x v="2"/>
    <x v="6"/>
    <s v="jodi.whitney@yahoo.com"/>
    <s v="72876 Lara Key Suite 383, Gutierrezton, OR 71683"/>
    <s v="OID8708"/>
    <x v="300"/>
    <s v="07:05:11"/>
    <x v="18"/>
    <n v="282.63"/>
    <n v="3"/>
    <x v="2"/>
    <s v="0 delivery charge"/>
    <n v="4"/>
    <x v="1"/>
    <n v="66"/>
    <d v="2024-01-16T00:00:00"/>
    <n v="5"/>
    <s v="14:16:13"/>
    <n v="66"/>
    <n v="847.89"/>
    <n v="913.89"/>
    <n v="847.89"/>
  </r>
  <r>
    <x v="90"/>
    <s v="Lauren Lane"/>
    <s v="Lauren"/>
    <s v="Lane"/>
    <n v="30"/>
    <x v="0"/>
    <x v="7"/>
    <s v="lauren.lane@gmail.com"/>
    <s v="56985 Sergio Extensions, Port Albert, CO 02898"/>
    <s v="OID5745"/>
    <x v="301"/>
    <s v="02:16:10"/>
    <x v="26"/>
    <n v="372.62"/>
    <n v="5"/>
    <x v="0"/>
    <s v="8%"/>
    <n v="4"/>
    <x v="0"/>
    <n v="66"/>
    <d v="2024-03-13T00:00:00"/>
    <n v="3"/>
    <s v="06:31:20"/>
    <n v="154.32799999999997"/>
    <n v="1863.1"/>
    <n v="1929.1"/>
    <n v="1774.7719999999999"/>
  </r>
  <r>
    <x v="14"/>
    <s v="Gina Moreno"/>
    <s v="Gina"/>
    <s v="Moreno"/>
    <n v="36"/>
    <x v="2"/>
    <x v="4"/>
    <s v="gina.moreno@rediffmail.com"/>
    <s v="USS Murray, FPO AP 66559"/>
    <s v="OID9178"/>
    <x v="302"/>
    <s v="18:34:02"/>
    <x v="43"/>
    <n v="424.82"/>
    <n v="4"/>
    <x v="4"/>
    <s v="10%"/>
    <n v="5"/>
    <x v="1"/>
    <n v="58"/>
    <d v="2023-06-21T00:00:00"/>
    <n v="7"/>
    <s v="13:27:30"/>
    <n v="175.72800000000007"/>
    <n v="1699.28"/>
    <n v="1757.28"/>
    <n v="1581.5519999999999"/>
  </r>
  <r>
    <x v="37"/>
    <s v="Alexandra Smith"/>
    <s v="Alexandra"/>
    <s v="Smith"/>
    <n v="70"/>
    <x v="0"/>
    <x v="0"/>
    <s v="alexandra.smith@rediffmail.com"/>
    <s v="48611 Clark Village, West Anne, GA 92865"/>
    <s v="OID2529"/>
    <x v="303"/>
    <s v="14:35:39"/>
    <x v="33"/>
    <n v="421.7"/>
    <n v="3"/>
    <x v="2"/>
    <s v="0 delivery charge"/>
    <n v="3"/>
    <x v="1"/>
    <n v="56"/>
    <d v="2023-09-08T00:00:00"/>
    <n v="5"/>
    <s v="17:37:51"/>
    <n v="56"/>
    <n v="1265.0999999999999"/>
    <n v="1321.1"/>
    <n v="1265.0999999999999"/>
  </r>
  <r>
    <x v="64"/>
    <s v="Bruce Allen"/>
    <s v="Bruce"/>
    <s v="Allen"/>
    <n v="32"/>
    <x v="1"/>
    <x v="0"/>
    <s v="bruce.allen@rediffmail.com"/>
    <s v="2417 Brown Ford, West Timothyside, RI 45629"/>
    <s v="OID3125"/>
    <x v="161"/>
    <s v="02:52:20"/>
    <x v="47"/>
    <n v="292.14999999999998"/>
    <n v="2"/>
    <x v="1"/>
    <s v="15%"/>
    <n v="6"/>
    <x v="0"/>
    <n v="60"/>
    <d v="2024-02-26T00:00:00"/>
    <n v="5"/>
    <s v="04:02:49"/>
    <n v="96.644999999999982"/>
    <n v="584.29999999999995"/>
    <n v="644.29999999999995"/>
    <n v="547.65499999999997"/>
  </r>
  <r>
    <x v="19"/>
    <s v="Mark Henderson"/>
    <s v="Mark"/>
    <s v="Henderson"/>
    <n v="33"/>
    <x v="2"/>
    <x v="7"/>
    <s v="mark.henderson@yahoo.com"/>
    <s v="90155 Hines Spring, North Theresafurt, ME 31920"/>
    <s v="OID4011"/>
    <x v="304"/>
    <s v="10:33:07"/>
    <x v="26"/>
    <n v="372.62"/>
    <n v="1"/>
    <x v="1"/>
    <s v="15%"/>
    <n v="5"/>
    <x v="0"/>
    <n v="50"/>
    <d v="2025-01-04T00:00:00"/>
    <n v="4"/>
    <s v="06:32:27"/>
    <n v="63.393000000000029"/>
    <n v="372.62"/>
    <n v="422.62"/>
    <n v="359.22699999999998"/>
  </r>
  <r>
    <x v="92"/>
    <s v="Lauren Crane"/>
    <s v="Lauren"/>
    <s v="Crane"/>
    <n v="62"/>
    <x v="1"/>
    <x v="1"/>
    <s v="lauren.crane@yahoo.com"/>
    <s v="30313 Reyes Parkways Suite 392, Port Bradley, SC 24078"/>
    <s v="OID1592"/>
    <x v="305"/>
    <s v="01:25:50"/>
    <x v="7"/>
    <n v="48.45"/>
    <n v="3"/>
    <x v="1"/>
    <s v="15%"/>
    <n v="5"/>
    <x v="1"/>
    <n v="42"/>
    <d v="2024-02-25T00:00:00"/>
    <n v="7"/>
    <s v="18:04:09"/>
    <n v="28.10250000000002"/>
    <n v="145.35000000000002"/>
    <n v="187.35000000000002"/>
    <n v="159.2475"/>
  </r>
  <r>
    <x v="60"/>
    <s v="Christy Chang"/>
    <s v="Christy"/>
    <s v="Chang"/>
    <n v="38"/>
    <x v="1"/>
    <x v="7"/>
    <s v="christy.chang@outlook.com"/>
    <s v="4647 Hannah Centers, Rhodesburgh, NH 89363"/>
    <s v="OID7667"/>
    <x v="51"/>
    <s v="20:10:30"/>
    <x v="10"/>
    <n v="190.1"/>
    <n v="3"/>
    <x v="4"/>
    <s v="10%"/>
    <n v="3"/>
    <x v="2"/>
    <n v="41"/>
    <d v="2024-01-24T00:00:00"/>
    <n v="3"/>
    <s v="15:08:52"/>
    <n v="61.129999999999995"/>
    <n v="570.29999999999995"/>
    <n v="611.29999999999995"/>
    <n v="550.16999999999996"/>
  </r>
  <r>
    <x v="92"/>
    <s v="Lauren Crane"/>
    <s v="Lauren"/>
    <s v="Crane"/>
    <n v="62"/>
    <x v="1"/>
    <x v="1"/>
    <s v="lauren.crane@yahoo.com"/>
    <s v="30313 Reyes Parkways Suite 392, Port Bradley, SC 24078"/>
    <s v="OID5182"/>
    <x v="306"/>
    <s v="03:46:35"/>
    <x v="15"/>
    <n v="461.07"/>
    <n v="4"/>
    <x v="1"/>
    <s v="15%"/>
    <n v="1"/>
    <x v="1"/>
    <n v="66"/>
    <d v="2024-02-24T00:00:00"/>
    <n v="2"/>
    <s v="11:20:17"/>
    <n v="286.54200000000014"/>
    <n v="1844.28"/>
    <n v="1910.28"/>
    <n v="1623.7379999999998"/>
  </r>
  <r>
    <x v="29"/>
    <s v="Courtney Parker"/>
    <s v="Courtney"/>
    <s v="Parker"/>
    <n v="29"/>
    <x v="2"/>
    <x v="3"/>
    <s v="courtney.parker@yahoo.com"/>
    <s v="087 Jacqueline Rue Apt. 694, East Tasha, SC 04859"/>
    <s v="OID1833"/>
    <x v="307"/>
    <s v="00:31:47"/>
    <x v="21"/>
    <n v="157.63999999999999"/>
    <n v="5"/>
    <x v="0"/>
    <s v="8%"/>
    <n v="2"/>
    <x v="1"/>
    <n v="46"/>
    <d v="2024-01-10T00:00:00"/>
    <n v="6"/>
    <s v="11:06:01"/>
    <n v="66.73599999999999"/>
    <n v="788.19999999999993"/>
    <n v="834.19999999999993"/>
    <n v="767.46399999999994"/>
  </r>
  <r>
    <x v="17"/>
    <s v="Deborah Bates"/>
    <s v="Deborah"/>
    <s v="Bates"/>
    <n v="23"/>
    <x v="0"/>
    <x v="3"/>
    <s v="deborah.bates@yahoo.com"/>
    <s v="278 Kathy Estate, Saraville, OH 77292"/>
    <s v="OID5190"/>
    <x v="308"/>
    <s v="04:04:19"/>
    <x v="40"/>
    <n v="445.81"/>
    <n v="3"/>
    <x v="0"/>
    <s v="8%"/>
    <n v="1"/>
    <x v="2"/>
    <n v="37"/>
    <d v="2024-07-05T00:00:00"/>
    <n v="1"/>
    <s v="00:48:55"/>
    <n v="109.95439999999985"/>
    <n v="1337.43"/>
    <n v="1374.43"/>
    <n v="1264.4756000000002"/>
  </r>
  <r>
    <x v="93"/>
    <s v="Katie Hicks"/>
    <s v="Katie"/>
    <s v="Hicks"/>
    <n v="34"/>
    <x v="2"/>
    <x v="5"/>
    <s v="katie.hicks@rediffmail.com"/>
    <s v="848 William Port, New Marilyn, SD 58000"/>
    <s v="OID4399"/>
    <x v="309"/>
    <s v="07:13:46"/>
    <x v="24"/>
    <n v="481.48"/>
    <n v="4"/>
    <x v="1"/>
    <s v="15%"/>
    <n v="4"/>
    <x v="0"/>
    <n v="38"/>
    <d v="2024-12-21T00:00:00"/>
    <n v="1"/>
    <s v="09:05:57"/>
    <n v="294.58799999999997"/>
    <n v="1925.92"/>
    <n v="1963.92"/>
    <n v="1669.3320000000001"/>
  </r>
  <r>
    <x v="36"/>
    <s v="Jason Lopez"/>
    <s v="Jason"/>
    <s v="Lopez"/>
    <n v="40"/>
    <x v="2"/>
    <x v="6"/>
    <s v="jason.lopez@outlook.com"/>
    <s v="934 Levine View, Brentport, NE 38210"/>
    <s v="OID8104"/>
    <x v="310"/>
    <s v="21:07:18"/>
    <x v="37"/>
    <n v="133.62"/>
    <n v="1"/>
    <x v="1"/>
    <s v="15%"/>
    <n v="5"/>
    <x v="0"/>
    <n v="66"/>
    <d v="2023-04-21T00:00:00"/>
    <n v="4"/>
    <s v="00:38:35"/>
    <n v="29.943000000000012"/>
    <n v="133.62"/>
    <n v="199.62"/>
    <n v="169.67699999999999"/>
  </r>
  <r>
    <x v="94"/>
    <s v="Regina Hawkins"/>
    <s v="Regina"/>
    <s v="Hawkins"/>
    <n v="47"/>
    <x v="1"/>
    <x v="0"/>
    <s v="regina.hawkins@rediffmail.com"/>
    <s v="096 Santos Neck Apt. 937, Benjaminmouth, FL 61454"/>
    <s v="OID1054"/>
    <x v="311"/>
    <s v="13:31:33"/>
    <x v="36"/>
    <n v="425.59"/>
    <n v="3"/>
    <x v="4"/>
    <s v="10%"/>
    <n v="7"/>
    <x v="0"/>
    <n v="51"/>
    <d v="2024-02-08T00:00:00"/>
    <n v="3"/>
    <s v="02:03:42"/>
    <n v="132.77700000000004"/>
    <n v="1276.77"/>
    <n v="1327.77"/>
    <n v="1194.9929999999999"/>
  </r>
  <r>
    <x v="92"/>
    <s v="Lauren Crane"/>
    <s v="Lauren"/>
    <s v="Crane"/>
    <n v="62"/>
    <x v="1"/>
    <x v="1"/>
    <s v="lauren.crane@yahoo.com"/>
    <s v="30313 Reyes Parkways Suite 392, Port Bradley, SC 24078"/>
    <s v="OID7828"/>
    <x v="312"/>
    <s v="00:57:10"/>
    <x v="38"/>
    <n v="477.52"/>
    <n v="5"/>
    <x v="3"/>
    <s v="20%"/>
    <n v="2"/>
    <x v="1"/>
    <n v="60"/>
    <d v="2024-08-16T00:00:00"/>
    <n v="3"/>
    <s v="03:55:32"/>
    <n v="489.52"/>
    <n v="2387.6"/>
    <n v="2447.6"/>
    <n v="1958.08"/>
  </r>
  <r>
    <x v="39"/>
    <s v="Amanda Howard"/>
    <s v="Amanda"/>
    <s v="Howard"/>
    <n v="52"/>
    <x v="2"/>
    <x v="7"/>
    <s v="amanda.howard@outlook.com"/>
    <s v="56908 Sydney Park Suite 632, West Anthonyport, NC 15954"/>
    <s v="OID5598"/>
    <x v="313"/>
    <s v="00:07:15"/>
    <x v="18"/>
    <n v="282.63"/>
    <n v="3"/>
    <x v="0"/>
    <s v="8%"/>
    <n v="3"/>
    <x v="1"/>
    <n v="36"/>
    <d v="2024-07-05T00:00:00"/>
    <n v="7"/>
    <s v="06:30:27"/>
    <n v="70.711199999999963"/>
    <n v="847.89"/>
    <n v="883.89"/>
    <n v="813.17880000000002"/>
  </r>
  <r>
    <x v="40"/>
    <s v="Mary Knight"/>
    <s v="Mary"/>
    <s v="Knight"/>
    <n v="28"/>
    <x v="2"/>
    <x v="2"/>
    <s v="mary.knight@yahoo.com"/>
    <s v="907 Kimberly Hill, Murrayfort, NH 88384"/>
    <s v="OID7417"/>
    <x v="314"/>
    <s v="08:47:14"/>
    <x v="21"/>
    <n v="157.63999999999999"/>
    <n v="1"/>
    <x v="3"/>
    <s v="20%"/>
    <n v="1"/>
    <x v="1"/>
    <n v="59"/>
    <d v="2024-03-05T00:00:00"/>
    <n v="6"/>
    <s v="19:25:43"/>
    <n v="43.327999999999975"/>
    <n v="157.63999999999999"/>
    <n v="216.64"/>
    <n v="173.31200000000001"/>
  </r>
  <r>
    <x v="93"/>
    <s v="Katie Hicks"/>
    <s v="Katie"/>
    <s v="Hicks"/>
    <n v="34"/>
    <x v="2"/>
    <x v="5"/>
    <s v="katie.hicks@rediffmail.com"/>
    <s v="848 William Port, New Marilyn, SD 58000"/>
    <s v="OID8004"/>
    <x v="315"/>
    <s v="12:05:04"/>
    <x v="7"/>
    <n v="48.45"/>
    <n v="1"/>
    <x v="4"/>
    <s v="10%"/>
    <n v="5"/>
    <x v="1"/>
    <n v="38"/>
    <d v="2024-06-13T00:00:00"/>
    <n v="7"/>
    <s v="18:05:47"/>
    <n v="8.644999999999996"/>
    <n v="48.45"/>
    <n v="86.45"/>
    <n v="77.805000000000007"/>
  </r>
  <r>
    <x v="5"/>
    <s v="David Delacruz"/>
    <s v="David"/>
    <s v="Delacruz"/>
    <n v="26"/>
    <x v="1"/>
    <x v="3"/>
    <s v="david.delacruz@rediffmail.com"/>
    <s v="USNS Ray, FPO AE 20238"/>
    <s v="OID7287"/>
    <x v="316"/>
    <s v="05:45:27"/>
    <x v="47"/>
    <n v="292.14999999999998"/>
    <n v="1"/>
    <x v="3"/>
    <s v="20%"/>
    <n v="5"/>
    <x v="1"/>
    <n v="57"/>
    <d v="2024-03-14T00:00:00"/>
    <n v="6"/>
    <s v="16:20:46"/>
    <n v="69.829999999999984"/>
    <n v="292.14999999999998"/>
    <n v="349.15"/>
    <n v="279.32"/>
  </r>
  <r>
    <x v="95"/>
    <s v="Rachel Lopez"/>
    <s v="Rachel"/>
    <s v="Lopez"/>
    <n v="57"/>
    <x v="1"/>
    <x v="3"/>
    <s v="rachel.lopez@outlook.com"/>
    <s v="90435 Bonnie Points Suite 886, Jenniferfurt, WV 20187"/>
    <s v="OID3637"/>
    <x v="317"/>
    <s v="18:27:35"/>
    <x v="46"/>
    <n v="20"/>
    <n v="4"/>
    <x v="3"/>
    <s v="20%"/>
    <n v="1"/>
    <x v="2"/>
    <n v="51"/>
    <d v="2024-02-12T00:00:00"/>
    <n v="1"/>
    <s v="15:09:01"/>
    <n v="26.199999999999989"/>
    <n v="80"/>
    <n v="131"/>
    <n v="104.80000000000001"/>
  </r>
  <r>
    <x v="74"/>
    <s v="Amy Griffin"/>
    <s v="Amy"/>
    <s v="Griffin"/>
    <n v="29"/>
    <x v="0"/>
    <x v="1"/>
    <s v="amy.griffin@rediffmail.com"/>
    <s v="07350 Aaron Meadow Suite 138, Kiaraberg, AL 79545"/>
    <s v="OID2097"/>
    <x v="318"/>
    <s v="08:19:07"/>
    <x v="7"/>
    <n v="48.45"/>
    <n v="2"/>
    <x v="1"/>
    <s v="15%"/>
    <n v="7"/>
    <x v="0"/>
    <n v="56"/>
    <d v="2025-01-30T00:00:00"/>
    <n v="6"/>
    <s v="03:55:26"/>
    <n v="22.935000000000002"/>
    <n v="96.9"/>
    <n v="152.9"/>
    <n v="129.965"/>
  </r>
  <r>
    <x v="59"/>
    <s v="Beth Mason"/>
    <s v="Beth"/>
    <s v="Mason"/>
    <n v="45"/>
    <x v="2"/>
    <x v="3"/>
    <s v="beth.mason@outlook.com"/>
    <s v="58998 Sherry Haven, East Richard, FL 90775"/>
    <s v="OID3388"/>
    <x v="275"/>
    <s v="01:16:23"/>
    <x v="17"/>
    <n v="126.19"/>
    <n v="2"/>
    <x v="3"/>
    <s v="20%"/>
    <n v="4"/>
    <x v="1"/>
    <n v="67"/>
    <d v="2023-09-27T00:00:00"/>
    <n v="6"/>
    <s v="21:24:42"/>
    <n v="63.875999999999976"/>
    <n v="252.38"/>
    <n v="319.38"/>
    <n v="255.50400000000002"/>
  </r>
  <r>
    <x v="90"/>
    <s v="Lauren Lane"/>
    <s v="Lauren"/>
    <s v="Lane"/>
    <n v="30"/>
    <x v="0"/>
    <x v="7"/>
    <s v="lauren.lane@gmail.com"/>
    <s v="56985 Sergio Extensions, Port Albert, CO 02898"/>
    <s v="OID1114"/>
    <x v="210"/>
    <s v="07:59:11"/>
    <x v="17"/>
    <n v="126.19"/>
    <n v="4"/>
    <x v="0"/>
    <s v="8%"/>
    <n v="5"/>
    <x v="0"/>
    <n v="69"/>
    <d v="2024-04-14T00:00:00"/>
    <n v="3"/>
    <s v="05:33:08"/>
    <n v="45.900800000000004"/>
    <n v="504.76"/>
    <n v="573.76"/>
    <n v="527.85919999999999"/>
  </r>
  <r>
    <x v="26"/>
    <s v="Heather Schneider"/>
    <s v="Heather"/>
    <s v="Schneider"/>
    <n v="48"/>
    <x v="1"/>
    <x v="3"/>
    <s v="heather.schneider@outlook.com"/>
    <s v="57940 Susan Creek Apt. 541, Port Aliciamouth, OR 90221"/>
    <s v="OID3556"/>
    <x v="319"/>
    <s v="02:05:06"/>
    <x v="27"/>
    <n v="496.59"/>
    <n v="3"/>
    <x v="2"/>
    <s v="0 delivery charge"/>
    <n v="3"/>
    <x v="1"/>
    <n v="49"/>
    <d v="2024-04-24T00:00:00"/>
    <n v="7"/>
    <s v="02:03:44"/>
    <n v="49"/>
    <n v="1489.77"/>
    <n v="1538.77"/>
    <n v="1489.77"/>
  </r>
  <r>
    <x v="31"/>
    <s v="Donna Oneill"/>
    <s v="Donna"/>
    <s v="Oneill"/>
    <n v="70"/>
    <x v="0"/>
    <x v="6"/>
    <s v="donna.oneill@yahoo.com"/>
    <s v="464 Carolyn Crest Suite 738, Lake Isaiah, CA 66153"/>
    <s v="OID9404"/>
    <x v="320"/>
    <s v="08:18:15"/>
    <x v="43"/>
    <n v="424.82"/>
    <n v="4"/>
    <x v="1"/>
    <s v="15%"/>
    <n v="1"/>
    <x v="1"/>
    <n v="70"/>
    <d v="2024-04-20T00:00:00"/>
    <n v="6"/>
    <s v="08:36:13"/>
    <n v="265.39200000000005"/>
    <n v="1699.28"/>
    <n v="1769.28"/>
    <n v="1503.8879999999999"/>
  </r>
  <r>
    <x v="14"/>
    <s v="Gina Moreno"/>
    <s v="Gina"/>
    <s v="Moreno"/>
    <n v="36"/>
    <x v="2"/>
    <x v="4"/>
    <s v="gina.moreno@rediffmail.com"/>
    <s v="USS Murray, FPO AP 66559"/>
    <s v="OID4552"/>
    <x v="23"/>
    <s v="12:10:36"/>
    <x v="46"/>
    <n v="20"/>
    <n v="2"/>
    <x v="4"/>
    <s v="10%"/>
    <n v="1"/>
    <x v="2"/>
    <n v="68"/>
    <d v="2023-09-26T00:00:00"/>
    <n v="1"/>
    <s v="23:31:23"/>
    <n v="10.799999999999997"/>
    <n v="40"/>
    <n v="108"/>
    <n v="97.2"/>
  </r>
  <r>
    <x v="94"/>
    <s v="Regina Hawkins"/>
    <s v="Regina"/>
    <s v="Hawkins"/>
    <n v="47"/>
    <x v="1"/>
    <x v="0"/>
    <s v="regina.hawkins@rediffmail.com"/>
    <s v="096 Santos Neck Apt. 937, Benjaminmouth, FL 61454"/>
    <s v="OID8486"/>
    <x v="321"/>
    <s v="00:38:36"/>
    <x v="2"/>
    <n v="202.54"/>
    <n v="5"/>
    <x v="4"/>
    <s v="10%"/>
    <n v="4"/>
    <x v="0"/>
    <n v="58"/>
    <d v="2023-10-19T00:00:00"/>
    <n v="2"/>
    <s v="20:13:27"/>
    <n v="107.06999999999994"/>
    <n v="1012.6999999999999"/>
    <n v="1070.6999999999998"/>
    <n v="963.62999999999988"/>
  </r>
  <r>
    <x v="14"/>
    <s v="Gina Moreno"/>
    <s v="Gina"/>
    <s v="Moreno"/>
    <n v="36"/>
    <x v="2"/>
    <x v="4"/>
    <s v="gina.moreno@rediffmail.com"/>
    <s v="USS Murray, FPO AP 66559"/>
    <s v="OID4240"/>
    <x v="322"/>
    <s v="02:46:16"/>
    <x v="34"/>
    <n v="136.30000000000001"/>
    <n v="4"/>
    <x v="0"/>
    <s v="8%"/>
    <n v="6"/>
    <x v="0"/>
    <n v="52"/>
    <d v="2024-03-20T00:00:00"/>
    <n v="3"/>
    <s v="09:28:52"/>
    <n v="47.775999999999954"/>
    <n v="545.20000000000005"/>
    <n v="597.20000000000005"/>
    <n v="549.42400000000009"/>
  </r>
  <r>
    <x v="7"/>
    <s v="Debra Rodriguez"/>
    <s v="Debra"/>
    <s v="Rodriguez"/>
    <n v="48"/>
    <x v="2"/>
    <x v="1"/>
    <s v="debra.rodriguez@rediffmail.com"/>
    <s v="Unit 5964 Box 0721, DPO AP 01840"/>
    <s v="OID3727"/>
    <x v="323"/>
    <s v="21:06:59"/>
    <x v="21"/>
    <n v="157.63999999999999"/>
    <n v="4"/>
    <x v="2"/>
    <s v="0 delivery charge"/>
    <n v="7"/>
    <x v="0"/>
    <n v="42"/>
    <d v="2025-01-06T00:00:00"/>
    <n v="2"/>
    <s v="07:58:32"/>
    <n v="42"/>
    <n v="630.55999999999995"/>
    <n v="672.56"/>
    <n v="630.55999999999995"/>
  </r>
  <r>
    <x v="49"/>
    <s v="Sarah Butler"/>
    <s v="Sarah"/>
    <s v="Butler"/>
    <n v="64"/>
    <x v="0"/>
    <x v="0"/>
    <s v="sarah.butler@rediffmail.com"/>
    <s v="14131 Edwin Shore Apt. 190, Deniseberg, MD 90905"/>
    <s v="OID8955"/>
    <x v="251"/>
    <s v="05:37:55"/>
    <x v="48"/>
    <n v="107.47"/>
    <n v="5"/>
    <x v="3"/>
    <s v="20%"/>
    <n v="6"/>
    <x v="0"/>
    <n v="47"/>
    <d v="2023-08-11T00:00:00"/>
    <n v="2"/>
    <s v="12:11:43"/>
    <n v="116.87"/>
    <n v="537.35"/>
    <n v="584.35"/>
    <n v="467.48"/>
  </r>
  <r>
    <x v="33"/>
    <s v="Timothy Hicks"/>
    <s v="Timothy"/>
    <s v="Hicks"/>
    <n v="31"/>
    <x v="2"/>
    <x v="4"/>
    <s v="timothy.hicks@gmail.com"/>
    <s v="140 Tracy Fields, Lake Cynthiaton, TX 57190"/>
    <s v="OID1744"/>
    <x v="324"/>
    <s v="01:03:02"/>
    <x v="19"/>
    <n v="128.13999999999999"/>
    <n v="1"/>
    <x v="2"/>
    <s v="0 delivery charge"/>
    <n v="3"/>
    <x v="0"/>
    <n v="55"/>
    <d v="2024-12-29T00:00:00"/>
    <n v="2"/>
    <s v="08:40:48"/>
    <n v="55"/>
    <n v="128.13999999999999"/>
    <n v="183.14"/>
    <n v="128.13999999999999"/>
  </r>
  <r>
    <x v="53"/>
    <s v="Jodi Whitney"/>
    <s v="Jodi"/>
    <s v="Whitney"/>
    <n v="33"/>
    <x v="2"/>
    <x v="6"/>
    <s v="jodi.whitney@yahoo.com"/>
    <s v="72876 Lara Key Suite 383, Gutierrezton, OR 71683"/>
    <s v="OID5831"/>
    <x v="218"/>
    <s v="18:12:36"/>
    <x v="36"/>
    <n v="425.59"/>
    <n v="2"/>
    <x v="4"/>
    <s v="10%"/>
    <n v="4"/>
    <x v="1"/>
    <n v="64"/>
    <d v="2024-03-07T00:00:00"/>
    <n v="7"/>
    <s v="04:54:21"/>
    <n v="91.518000000000029"/>
    <n v="851.18"/>
    <n v="915.18"/>
    <n v="823.66199999999992"/>
  </r>
  <r>
    <x v="37"/>
    <s v="Alexandra Smith"/>
    <s v="Alexandra"/>
    <s v="Smith"/>
    <n v="70"/>
    <x v="0"/>
    <x v="0"/>
    <s v="alexandra.smith@rediffmail.com"/>
    <s v="48611 Clark Village, West Anne, GA 92865"/>
    <s v="OID2842"/>
    <x v="290"/>
    <s v="15:52:52"/>
    <x v="49"/>
    <n v="33.49"/>
    <n v="5"/>
    <x v="3"/>
    <s v="20%"/>
    <n v="5"/>
    <x v="1"/>
    <n v="64"/>
    <d v="2024-12-02T00:00:00"/>
    <n v="6"/>
    <s v="22:30:31"/>
    <n v="46.289999999999992"/>
    <n v="167.45000000000002"/>
    <n v="231.45000000000002"/>
    <n v="185.16000000000003"/>
  </r>
  <r>
    <x v="21"/>
    <s v="Angela Evans"/>
    <s v="Angela"/>
    <s v="Evans"/>
    <n v="52"/>
    <x v="2"/>
    <x v="1"/>
    <s v="angela.evans@outlook.com"/>
    <s v="16031 David Mountain Suite 431, Susanborough, PA 01910"/>
    <s v="OID1661"/>
    <x v="325"/>
    <s v="11:10:43"/>
    <x v="42"/>
    <n v="235.63"/>
    <n v="1"/>
    <x v="2"/>
    <s v="0 delivery charge"/>
    <n v="6"/>
    <x v="0"/>
    <n v="35"/>
    <d v="2023-12-12T00:00:00"/>
    <n v="3"/>
    <s v="14:43:30"/>
    <n v="35"/>
    <n v="235.63"/>
    <n v="270.63"/>
    <n v="235.63"/>
  </r>
  <r>
    <x v="90"/>
    <s v="Lauren Lane"/>
    <s v="Lauren"/>
    <s v="Lane"/>
    <n v="30"/>
    <x v="0"/>
    <x v="7"/>
    <s v="lauren.lane@gmail.com"/>
    <s v="56985 Sergio Extensions, Port Albert, CO 02898"/>
    <s v="OID9123"/>
    <x v="326"/>
    <s v="10:50:23"/>
    <x v="46"/>
    <n v="20"/>
    <n v="3"/>
    <x v="4"/>
    <s v="10%"/>
    <n v="7"/>
    <x v="0"/>
    <n v="65"/>
    <d v="2025-02-13T00:00:00"/>
    <n v="6"/>
    <s v="10:39:52"/>
    <n v="12.5"/>
    <n v="60"/>
    <n v="125"/>
    <n v="112.5"/>
  </r>
  <r>
    <x v="66"/>
    <s v="Melissa Levy"/>
    <s v="Melissa"/>
    <s v="Levy"/>
    <n v="30"/>
    <x v="0"/>
    <x v="5"/>
    <s v="melissa.levy@rediffmail.com"/>
    <s v="3303 Kennedy Springs Suite 830, East Amybury, MI 95595"/>
    <s v="OID3981"/>
    <x v="327"/>
    <s v="12:04:15"/>
    <x v="49"/>
    <n v="33.49"/>
    <n v="5"/>
    <x v="3"/>
    <s v="20%"/>
    <n v="2"/>
    <x v="2"/>
    <n v="58"/>
    <d v="2024-10-24T00:00:00"/>
    <n v="2"/>
    <s v="05:18:08"/>
    <n v="45.09"/>
    <n v="167.45000000000002"/>
    <n v="225.45000000000002"/>
    <n v="180.36"/>
  </r>
  <r>
    <x v="59"/>
    <s v="Beth Mason"/>
    <s v="Beth"/>
    <s v="Mason"/>
    <n v="45"/>
    <x v="2"/>
    <x v="3"/>
    <s v="beth.mason@outlook.com"/>
    <s v="58998 Sherry Haven, East Richard, FL 90775"/>
    <s v="OID6634"/>
    <x v="28"/>
    <s v="02:36:45"/>
    <x v="34"/>
    <n v="136.30000000000001"/>
    <n v="1"/>
    <x v="0"/>
    <s v="8%"/>
    <n v="4"/>
    <x v="0"/>
    <n v="41"/>
    <d v="2023-03-03T00:00:00"/>
    <n v="1"/>
    <s v="14:57:01"/>
    <n v="14.183999999999997"/>
    <n v="136.30000000000001"/>
    <n v="177.3"/>
    <n v="163.11600000000001"/>
  </r>
  <r>
    <x v="96"/>
    <s v="Scott Jones"/>
    <s v="Scott"/>
    <s v="Jones"/>
    <n v="29"/>
    <x v="2"/>
    <x v="3"/>
    <s v="scott.jones@yahoo.com"/>
    <s v="086 Kristin Manor Apt. 829, Marissabury, CT 12152"/>
    <s v="OID9069"/>
    <x v="127"/>
    <s v="02:29:46"/>
    <x v="20"/>
    <n v="62.42"/>
    <n v="1"/>
    <x v="0"/>
    <s v="8%"/>
    <n v="3"/>
    <x v="1"/>
    <n v="48"/>
    <d v="2024-09-07T00:00:00"/>
    <n v="5"/>
    <s v="13:28:57"/>
    <n v="8.8335999999999899"/>
    <n v="62.42"/>
    <n v="110.42"/>
    <n v="101.58640000000001"/>
  </r>
  <r>
    <x v="50"/>
    <s v="Katherine Weber"/>
    <s v="Katherine"/>
    <s v="Weber"/>
    <n v="42"/>
    <x v="2"/>
    <x v="2"/>
    <s v="katherine.weber@outlook.com"/>
    <s v="04887 Kimberly Union Apt. 645, Port Laura, IL 97219"/>
    <s v="OID6802"/>
    <x v="309"/>
    <s v="03:00:01"/>
    <x v="36"/>
    <n v="425.59"/>
    <n v="5"/>
    <x v="2"/>
    <s v="0 delivery charge"/>
    <n v="5"/>
    <x v="1"/>
    <n v="47"/>
    <d v="2024-12-26T00:00:00"/>
    <n v="6"/>
    <s v="06:03:03"/>
    <n v="47"/>
    <n v="2127.9499999999998"/>
    <n v="2174.9499999999998"/>
    <n v="2127.9499999999998"/>
  </r>
  <r>
    <x v="16"/>
    <s v="Traci Jones"/>
    <s v="Traci"/>
    <s v="Jones"/>
    <n v="34"/>
    <x v="0"/>
    <x v="3"/>
    <s v="traci.jones@yahoo.com"/>
    <s v="4016 Ryan Passage, Collinsside, PA 88777"/>
    <s v="OID4442"/>
    <x v="86"/>
    <s v="01:12:34"/>
    <x v="48"/>
    <n v="107.47"/>
    <n v="5"/>
    <x v="4"/>
    <s v="10%"/>
    <n v="5"/>
    <x v="0"/>
    <n v="48"/>
    <d v="2024-08-01T00:00:00"/>
    <n v="1"/>
    <s v="10:01:43"/>
    <n v="58.534999999999968"/>
    <n v="537.35"/>
    <n v="585.35"/>
    <n v="526.81500000000005"/>
  </r>
  <r>
    <x v="10"/>
    <s v="Kara Brennan"/>
    <s v="Kara"/>
    <s v="Brennan"/>
    <n v="25"/>
    <x v="2"/>
    <x v="4"/>
    <s v="kara.brennan@outlook.com"/>
    <s v="2174 Thomas Avenue, Maciasborough, NJ 41465"/>
    <s v="OID4995"/>
    <x v="183"/>
    <s v="16:46:34"/>
    <x v="21"/>
    <n v="157.63999999999999"/>
    <n v="2"/>
    <x v="2"/>
    <s v="0 delivery charge"/>
    <n v="5"/>
    <x v="1"/>
    <n v="57"/>
    <d v="2023-12-17T00:00:00"/>
    <n v="6"/>
    <s v="04:45:34"/>
    <n v="57"/>
    <n v="315.27999999999997"/>
    <n v="372.28"/>
    <n v="315.27999999999997"/>
  </r>
  <r>
    <x v="33"/>
    <s v="Timothy Hicks"/>
    <s v="Timothy"/>
    <s v="Hicks"/>
    <n v="31"/>
    <x v="2"/>
    <x v="4"/>
    <s v="timothy.hicks@gmail.com"/>
    <s v="140 Tracy Fields, Lake Cynthiaton, TX 57190"/>
    <s v="OID7650"/>
    <x v="328"/>
    <s v="12:40:06"/>
    <x v="36"/>
    <n v="425.59"/>
    <n v="2"/>
    <x v="1"/>
    <s v="15%"/>
    <n v="1"/>
    <x v="1"/>
    <n v="44"/>
    <d v="2024-04-21T00:00:00"/>
    <n v="5"/>
    <s v="03:46:12"/>
    <n v="134.27700000000004"/>
    <n v="851.18"/>
    <n v="895.18"/>
    <n v="760.90299999999991"/>
  </r>
  <r>
    <x v="67"/>
    <s v="Barbara Fuller"/>
    <s v="Barbara"/>
    <s v="Fuller"/>
    <n v="43"/>
    <x v="2"/>
    <x v="5"/>
    <s v="barbara.fuller@rediffmail.com"/>
    <s v="134 Mcintosh Unions Suite 574, Lake Laura, DE 96577"/>
    <s v="OID5555"/>
    <x v="98"/>
    <s v="21:41:18"/>
    <x v="15"/>
    <n v="461.07"/>
    <n v="1"/>
    <x v="0"/>
    <s v="8%"/>
    <n v="1"/>
    <x v="2"/>
    <n v="42"/>
    <d v="2024-05-21T00:00:00"/>
    <n v="1"/>
    <s v="21:10:12"/>
    <n v="40.245599999999968"/>
    <n v="461.07"/>
    <n v="503.07"/>
    <n v="462.82440000000003"/>
  </r>
  <r>
    <x v="5"/>
    <s v="David Delacruz"/>
    <s v="David"/>
    <s v="Delacruz"/>
    <n v="26"/>
    <x v="1"/>
    <x v="3"/>
    <s v="david.delacruz@rediffmail.com"/>
    <s v="USNS Ray, FPO AE 20238"/>
    <s v="OID1769"/>
    <x v="315"/>
    <s v="18:51:12"/>
    <x v="42"/>
    <n v="235.63"/>
    <n v="1"/>
    <x v="1"/>
    <s v="15%"/>
    <n v="3"/>
    <x v="1"/>
    <n v="55"/>
    <d v="2024-06-12T00:00:00"/>
    <n v="6"/>
    <s v="01:58:20"/>
    <n v="43.594500000000011"/>
    <n v="235.63"/>
    <n v="290.63"/>
    <n v="247.03549999999998"/>
  </r>
  <r>
    <x v="56"/>
    <s v="Kelli Smith"/>
    <s v="Kelli"/>
    <s v="Smith"/>
    <n v="18"/>
    <x v="1"/>
    <x v="1"/>
    <s v="kelli.smith@rediffmail.com"/>
    <s v="788 Kristina Lane, Montoyaside, VA 90756"/>
    <s v="OID2189"/>
    <x v="329"/>
    <s v="16:35:28"/>
    <x v="37"/>
    <n v="133.62"/>
    <n v="2"/>
    <x v="0"/>
    <s v="8%"/>
    <n v="2"/>
    <x v="1"/>
    <n v="48"/>
    <d v="2023-09-15T00:00:00"/>
    <n v="6"/>
    <s v="07:06:38"/>
    <n v="25.219200000000001"/>
    <n v="267.24"/>
    <n v="315.24"/>
    <n v="290.02080000000001"/>
  </r>
  <r>
    <x v="84"/>
    <s v="Hannah Gutierrez"/>
    <s v="Hannah"/>
    <s v="Gutierrez"/>
    <n v="55"/>
    <x v="1"/>
    <x v="5"/>
    <s v="hannah.gutierrez@yahoo.com"/>
    <s v="2420 David Manors, Jessicaland, CT 41698"/>
    <s v="OID9035"/>
    <x v="101"/>
    <s v="15:11:02"/>
    <x v="13"/>
    <n v="104.18"/>
    <n v="1"/>
    <x v="0"/>
    <s v="8%"/>
    <n v="5"/>
    <x v="0"/>
    <n v="37"/>
    <d v="2023-03-22T00:00:00"/>
    <n v="2"/>
    <s v="14:16:59"/>
    <n v="11.294399999999996"/>
    <n v="104.18"/>
    <n v="141.18"/>
    <n v="129.88560000000001"/>
  </r>
  <r>
    <x v="61"/>
    <s v="Troy Gomez"/>
    <s v="Troy"/>
    <s v="Gomez"/>
    <n v="68"/>
    <x v="0"/>
    <x v="7"/>
    <s v="troy.gomez@outlook.com"/>
    <s v="7510 Jose Knolls, Candicechester, LA 62815"/>
    <s v="OID4219"/>
    <x v="330"/>
    <s v="08:03:37"/>
    <x v="5"/>
    <n v="363.64"/>
    <n v="4"/>
    <x v="3"/>
    <s v="20%"/>
    <n v="2"/>
    <x v="1"/>
    <n v="42"/>
    <d v="2024-09-05T00:00:00"/>
    <n v="4"/>
    <s v="13:50:58"/>
    <n v="299.3119999999999"/>
    <n v="1454.56"/>
    <n v="1496.56"/>
    <n v="1197.248"/>
  </r>
  <r>
    <x v="26"/>
    <s v="Heather Schneider"/>
    <s v="Heather"/>
    <s v="Schneider"/>
    <n v="48"/>
    <x v="1"/>
    <x v="3"/>
    <s v="heather.schneider@outlook.com"/>
    <s v="57940 Susan Creek Apt. 541, Port Aliciamouth, OR 90221"/>
    <s v="OID1694"/>
    <x v="331"/>
    <s v="04:43:46"/>
    <x v="11"/>
    <n v="220.27"/>
    <n v="2"/>
    <x v="1"/>
    <s v="15%"/>
    <n v="7"/>
    <x v="2"/>
    <n v="42"/>
    <d v="2024-01-26T00:00:00"/>
    <n v="7"/>
    <s v="01:46:40"/>
    <n v="72.381000000000029"/>
    <n v="440.54"/>
    <n v="482.54"/>
    <n v="410.15899999999999"/>
  </r>
  <r>
    <x v="62"/>
    <s v="Kim Blevins"/>
    <s v="Kim"/>
    <s v="Blevins"/>
    <n v="65"/>
    <x v="1"/>
    <x v="3"/>
    <s v="kim.blevins@outlook.com"/>
    <s v="089 Rice Shoal Suite 491, Juarezmouth, MI 88715"/>
    <s v="OID7495"/>
    <x v="332"/>
    <s v="21:09:31"/>
    <x v="49"/>
    <n v="33.49"/>
    <n v="3"/>
    <x v="4"/>
    <s v="10%"/>
    <n v="1"/>
    <x v="1"/>
    <n v="50"/>
    <d v="2023-09-03T00:00:00"/>
    <n v="5"/>
    <s v="06:09:19"/>
    <n v="15.046999999999997"/>
    <n v="100.47"/>
    <n v="150.47"/>
    <n v="135.423"/>
  </r>
  <r>
    <x v="31"/>
    <s v="Donna Oneill"/>
    <s v="Donna"/>
    <s v="Oneill"/>
    <n v="70"/>
    <x v="0"/>
    <x v="6"/>
    <s v="donna.oneill@yahoo.com"/>
    <s v="464 Carolyn Crest Suite 738, Lake Isaiah, CA 66153"/>
    <s v="OID1080"/>
    <x v="50"/>
    <s v="01:04:28"/>
    <x v="21"/>
    <n v="157.63999999999999"/>
    <n v="2"/>
    <x v="4"/>
    <s v="10%"/>
    <n v="6"/>
    <x v="0"/>
    <n v="65"/>
    <d v="2023-08-10T00:00:00"/>
    <n v="3"/>
    <s v="16:40:55"/>
    <n v="38.027999999999963"/>
    <n v="315.27999999999997"/>
    <n v="380.28"/>
    <n v="342.25200000000001"/>
  </r>
  <r>
    <x v="13"/>
    <s v="Erin Miller"/>
    <s v="Erin"/>
    <s v="Miller"/>
    <n v="46"/>
    <x v="0"/>
    <x v="6"/>
    <s v="erin.miller@gmail.com"/>
    <s v="65972 Peterson Route, Port Andrewfurt, SD 32892"/>
    <s v="OID4539"/>
    <x v="159"/>
    <s v="15:06:18"/>
    <x v="35"/>
    <n v="441.03"/>
    <n v="5"/>
    <x v="3"/>
    <s v="20%"/>
    <n v="7"/>
    <x v="0"/>
    <n v="36"/>
    <d v="2023-03-31T00:00:00"/>
    <n v="6"/>
    <s v="03:50:06"/>
    <n v="448.22999999999979"/>
    <n v="2205.1499999999996"/>
    <n v="2241.1499999999996"/>
    <n v="1792.9199999999998"/>
  </r>
  <r>
    <x v="53"/>
    <s v="Jodi Whitney"/>
    <s v="Jodi"/>
    <s v="Whitney"/>
    <n v="33"/>
    <x v="2"/>
    <x v="6"/>
    <s v="jodi.whitney@yahoo.com"/>
    <s v="72876 Lara Key Suite 383, Gutierrezton, OR 71683"/>
    <s v="OID8093"/>
    <x v="333"/>
    <s v="15:43:42"/>
    <x v="30"/>
    <n v="369.03"/>
    <n v="4"/>
    <x v="0"/>
    <s v="8%"/>
    <n v="5"/>
    <x v="0"/>
    <n v="48"/>
    <d v="2024-12-03T00:00:00"/>
    <n v="1"/>
    <s v="15:41:25"/>
    <n v="121.92959999999994"/>
    <n v="1476.12"/>
    <n v="1524.12"/>
    <n v="1402.1904"/>
  </r>
  <r>
    <x v="35"/>
    <s v="Aaron Thompson"/>
    <s v="Aaron"/>
    <s v="Thompson"/>
    <n v="47"/>
    <x v="1"/>
    <x v="3"/>
    <s v="aaron.thompson@gmail.com"/>
    <s v="PSC 0550, Box 2737, APO AE 75772"/>
    <s v="OID1707"/>
    <x v="145"/>
    <s v="21:05:38"/>
    <x v="23"/>
    <n v="129.75"/>
    <n v="2"/>
    <x v="3"/>
    <s v="20%"/>
    <n v="5"/>
    <x v="0"/>
    <n v="47"/>
    <d v="2024-08-28T00:00:00"/>
    <n v="3"/>
    <s v="17:28:07"/>
    <n v="61.299999999999983"/>
    <n v="259.5"/>
    <n v="306.5"/>
    <n v="245.20000000000002"/>
  </r>
  <r>
    <x v="85"/>
    <s v="Angela Casey"/>
    <s v="Angela"/>
    <s v="Casey"/>
    <n v="40"/>
    <x v="0"/>
    <x v="2"/>
    <s v="angela.casey@gmail.com"/>
    <s v="089 Farley Terrace, Thomashaven, MT 56607"/>
    <s v="OID5703"/>
    <x v="334"/>
    <s v="16:01:40"/>
    <x v="14"/>
    <n v="20.7"/>
    <n v="2"/>
    <x v="0"/>
    <s v="8%"/>
    <n v="5"/>
    <x v="0"/>
    <n v="61"/>
    <d v="2023-09-08T00:00:00"/>
    <n v="2"/>
    <s v="02:24:54"/>
    <n v="8.1919999999999931"/>
    <n v="41.4"/>
    <n v="102.4"/>
    <n v="94.208000000000013"/>
  </r>
  <r>
    <x v="65"/>
    <s v="Lisa Miller"/>
    <s v="Lisa"/>
    <s v="Miller"/>
    <n v="70"/>
    <x v="1"/>
    <x v="3"/>
    <s v="lisa.miller@gmail.com"/>
    <s v="89748 Campbell Drive, South Tannerland, WI 13143"/>
    <s v="OID7457"/>
    <x v="335"/>
    <s v="13:25:17"/>
    <x v="26"/>
    <n v="372.62"/>
    <n v="2"/>
    <x v="4"/>
    <s v="10%"/>
    <n v="4"/>
    <x v="0"/>
    <n v="57"/>
    <d v="2024-03-31T00:00:00"/>
    <n v="3"/>
    <s v="13:52:42"/>
    <n v="80.223999999999933"/>
    <n v="745.24"/>
    <n v="802.24"/>
    <n v="722.01600000000008"/>
  </r>
  <r>
    <x v="97"/>
    <s v="Gary Jacobs"/>
    <s v="Gary"/>
    <s v="Jacobs"/>
    <n v="64"/>
    <x v="1"/>
    <x v="2"/>
    <s v="gary.jacobs@gmail.com"/>
    <s v="USNV Williams, FPO AP 23197"/>
    <s v="OID4784"/>
    <x v="336"/>
    <s v="07:19:13"/>
    <x v="48"/>
    <n v="107.47"/>
    <n v="4"/>
    <x v="3"/>
    <s v="20%"/>
    <n v="5"/>
    <x v="0"/>
    <n v="42"/>
    <d v="2024-12-11T00:00:00"/>
    <n v="4"/>
    <s v="04:47:20"/>
    <n v="94.375999999999976"/>
    <n v="429.88"/>
    <n v="471.88"/>
    <n v="377.50400000000002"/>
  </r>
  <r>
    <x v="97"/>
    <s v="Gary Jacobs"/>
    <s v="Gary"/>
    <s v="Jacobs"/>
    <n v="64"/>
    <x v="1"/>
    <x v="2"/>
    <s v="gary.jacobs@gmail.com"/>
    <s v="USNV Williams, FPO AP 23197"/>
    <s v="OID1726"/>
    <x v="337"/>
    <s v="11:30:19"/>
    <x v="0"/>
    <n v="308.88"/>
    <n v="2"/>
    <x v="3"/>
    <s v="20%"/>
    <n v="2"/>
    <x v="2"/>
    <n v="55"/>
    <d v="2024-09-06T00:00:00"/>
    <n v="2"/>
    <s v="02:44:11"/>
    <n v="134.55200000000002"/>
    <n v="617.76"/>
    <n v="672.76"/>
    <n v="538.20799999999997"/>
  </r>
  <r>
    <x v="1"/>
    <s v="Anthony Thomas"/>
    <s v="Anthony"/>
    <s v="Thomas"/>
    <n v="53"/>
    <x v="1"/>
    <x v="1"/>
    <s v="anthony.thomas@rediffmail.com"/>
    <s v="931 Christopher Ways Suite 833, North Michelle, IN 53484"/>
    <s v="OID1073"/>
    <x v="247"/>
    <s v="03:51:26"/>
    <x v="20"/>
    <n v="62.42"/>
    <n v="5"/>
    <x v="1"/>
    <s v="15%"/>
    <n v="6"/>
    <x v="2"/>
    <n v="69"/>
    <d v="2025-02-02T00:00:00"/>
    <n v="6"/>
    <s v="12:59:30"/>
    <n v="57.16500000000002"/>
    <n v="312.10000000000002"/>
    <n v="381.1"/>
    <n v="323.935"/>
  </r>
  <r>
    <x v="92"/>
    <s v="Lauren Crane"/>
    <s v="Lauren"/>
    <s v="Crane"/>
    <n v="62"/>
    <x v="1"/>
    <x v="1"/>
    <s v="lauren.crane@yahoo.com"/>
    <s v="30313 Reyes Parkways Suite 392, Port Bradley, SC 24078"/>
    <s v="OID7443"/>
    <x v="338"/>
    <s v="15:44:41"/>
    <x v="31"/>
    <n v="286.07"/>
    <n v="1"/>
    <x v="2"/>
    <s v="0 delivery charge"/>
    <n v="4"/>
    <x v="1"/>
    <n v="43"/>
    <d v="2024-05-22T00:00:00"/>
    <n v="5"/>
    <s v="03:08:53"/>
    <n v="43"/>
    <n v="286.07"/>
    <n v="329.07"/>
    <n v="286.07"/>
  </r>
  <r>
    <x v="97"/>
    <s v="Gary Jacobs"/>
    <s v="Gary"/>
    <s v="Jacobs"/>
    <n v="64"/>
    <x v="1"/>
    <x v="2"/>
    <s v="gary.jacobs@gmail.com"/>
    <s v="USNV Williams, FPO AP 23197"/>
    <s v="OID1025"/>
    <x v="335"/>
    <s v="02:29:08"/>
    <x v="1"/>
    <n v="166.28"/>
    <n v="2"/>
    <x v="3"/>
    <s v="20%"/>
    <n v="4"/>
    <x v="1"/>
    <n v="40"/>
    <d v="2024-04-02T00:00:00"/>
    <n v="5"/>
    <s v="01:57:29"/>
    <n v="74.512"/>
    <n v="332.56"/>
    <n v="372.56"/>
    <n v="298.048"/>
  </r>
  <r>
    <x v="55"/>
    <s v="William Mann"/>
    <s v="William"/>
    <s v="Mann"/>
    <n v="21"/>
    <x v="0"/>
    <x v="1"/>
    <s v="william.mann@yahoo.com"/>
    <s v="849 Tran Wells, New Lindsayville, WI 22669"/>
    <s v="OID8826"/>
    <x v="339"/>
    <s v="04:40:06"/>
    <x v="41"/>
    <n v="433.62"/>
    <n v="2"/>
    <x v="4"/>
    <s v="10%"/>
    <n v="7"/>
    <x v="0"/>
    <n v="39"/>
    <d v="2024-12-18T00:00:00"/>
    <n v="6"/>
    <s v="02:03:57"/>
    <n v="90.624000000000024"/>
    <n v="867.24"/>
    <n v="906.24"/>
    <n v="815.61599999999999"/>
  </r>
  <r>
    <x v="34"/>
    <s v="Thomas Andersen"/>
    <s v="Thomas"/>
    <s v="Andersen"/>
    <n v="50"/>
    <x v="2"/>
    <x v="4"/>
    <s v="thomas.andersen@yahoo.com"/>
    <s v="480 Summers Lock Suite 819, Sarahborough, IA 59863"/>
    <s v="OID6254"/>
    <x v="54"/>
    <s v="01:51:31"/>
    <x v="3"/>
    <n v="405"/>
    <n v="3"/>
    <x v="4"/>
    <s v="10%"/>
    <n v="6"/>
    <x v="0"/>
    <n v="36"/>
    <d v="2023-08-15T00:00:00"/>
    <n v="4"/>
    <s v="05:04:36"/>
    <n v="125.09999999999991"/>
    <n v="1215"/>
    <n v="1251"/>
    <n v="1125.9000000000001"/>
  </r>
  <r>
    <x v="1"/>
    <s v="Anthony Thomas"/>
    <s v="Anthony"/>
    <s v="Thomas"/>
    <n v="53"/>
    <x v="1"/>
    <x v="1"/>
    <s v="anthony.thomas@rediffmail.com"/>
    <s v="931 Christopher Ways Suite 833, North Michelle, IN 53484"/>
    <s v="OID7518"/>
    <x v="83"/>
    <s v="11:55:04"/>
    <x v="4"/>
    <n v="330.11"/>
    <n v="3"/>
    <x v="3"/>
    <s v="20%"/>
    <n v="7"/>
    <x v="0"/>
    <n v="40"/>
    <d v="2023-06-03T00:00:00"/>
    <n v="4"/>
    <s v="05:45:33"/>
    <n v="206.06599999999992"/>
    <n v="990.33"/>
    <n v="1030.33"/>
    <n v="824.26400000000001"/>
  </r>
  <r>
    <x v="94"/>
    <s v="Regina Hawkins"/>
    <s v="Regina"/>
    <s v="Hawkins"/>
    <n v="47"/>
    <x v="1"/>
    <x v="0"/>
    <s v="regina.hawkins@rediffmail.com"/>
    <s v="096 Santos Neck Apt. 937, Benjaminmouth, FL 61454"/>
    <s v="OID4491"/>
    <x v="340"/>
    <s v="16:42:26"/>
    <x v="4"/>
    <n v="330.11"/>
    <n v="1"/>
    <x v="4"/>
    <s v="10%"/>
    <n v="4"/>
    <x v="2"/>
    <n v="39"/>
    <d v="2024-04-02T00:00:00"/>
    <n v="4"/>
    <s v="08:22:44"/>
    <n v="36.911000000000001"/>
    <n v="330.11"/>
    <n v="369.11"/>
    <n v="332.19900000000001"/>
  </r>
  <r>
    <x v="98"/>
    <s v="Janice Gordon"/>
    <s v="Janice"/>
    <s v="Gordon"/>
    <n v="43"/>
    <x v="0"/>
    <x v="1"/>
    <s v="janice.gordon@yahoo.com"/>
    <s v="5812 Evelyn Mountains Suite 845, Ortiztown, MN 86166"/>
    <s v="OID8288"/>
    <x v="341"/>
    <s v="02:55:29"/>
    <x v="40"/>
    <n v="445.81"/>
    <n v="2"/>
    <x v="1"/>
    <s v="15%"/>
    <n v="4"/>
    <x v="1"/>
    <n v="59"/>
    <d v="2024-10-11T00:00:00"/>
    <n v="5"/>
    <s v="04:21:49"/>
    <n v="142.59300000000007"/>
    <n v="891.62"/>
    <n v="950.62"/>
    <n v="808.02699999999993"/>
  </r>
  <r>
    <x v="92"/>
    <s v="Lauren Crane"/>
    <s v="Lauren"/>
    <s v="Crane"/>
    <n v="62"/>
    <x v="1"/>
    <x v="1"/>
    <s v="lauren.crane@yahoo.com"/>
    <s v="30313 Reyes Parkways Suite 392, Port Bradley, SC 24078"/>
    <s v="OID6504"/>
    <x v="340"/>
    <s v="12:05:41"/>
    <x v="49"/>
    <n v="33.49"/>
    <n v="1"/>
    <x v="2"/>
    <s v="0 delivery charge"/>
    <n v="2"/>
    <x v="1"/>
    <n v="69"/>
    <d v="2024-04-03T00:00:00"/>
    <n v="5"/>
    <s v="04:38:50"/>
    <n v="69"/>
    <n v="33.49"/>
    <n v="102.49000000000001"/>
    <n v="33.490000000000009"/>
  </r>
  <r>
    <x v="33"/>
    <s v="Timothy Hicks"/>
    <s v="Timothy"/>
    <s v="Hicks"/>
    <n v="31"/>
    <x v="2"/>
    <x v="4"/>
    <s v="timothy.hicks@gmail.com"/>
    <s v="140 Tracy Fields, Lake Cynthiaton, TX 57190"/>
    <s v="OID2595"/>
    <x v="77"/>
    <s v="03:10:32"/>
    <x v="21"/>
    <n v="157.63999999999999"/>
    <n v="1"/>
    <x v="3"/>
    <s v="20%"/>
    <n v="7"/>
    <x v="0"/>
    <n v="46"/>
    <d v="2024-08-23T00:00:00"/>
    <n v="2"/>
    <s v="11:44:11"/>
    <n v="40.72799999999998"/>
    <n v="157.63999999999999"/>
    <n v="203.64"/>
    <n v="162.91200000000001"/>
  </r>
  <r>
    <x v="32"/>
    <s v="Robert Castillo"/>
    <s v="Robert"/>
    <s v="Castillo"/>
    <n v="32"/>
    <x v="1"/>
    <x v="6"/>
    <s v="robert.castillo@gmail.com"/>
    <s v="7143 Brandon Skyway Suite 899, Tylerton, IA 21756"/>
    <s v="OID9478"/>
    <x v="194"/>
    <s v="17:54:41"/>
    <x v="8"/>
    <n v="257.06"/>
    <n v="1"/>
    <x v="0"/>
    <s v="8%"/>
    <n v="3"/>
    <x v="0"/>
    <n v="47"/>
    <d v="2023-11-29T00:00:00"/>
    <n v="2"/>
    <s v="08:42:42"/>
    <n v="24.324799999999982"/>
    <n v="257.06"/>
    <n v="304.06"/>
    <n v="279.73520000000002"/>
  </r>
  <r>
    <x v="77"/>
    <s v="Christine Aguilar"/>
    <s v="Christine"/>
    <s v="Aguilar"/>
    <n v="46"/>
    <x v="0"/>
    <x v="0"/>
    <s v="christine.aguilar@gmail.com"/>
    <s v="3284 Martin Neck, Lopezville, NY 69154"/>
    <s v="OID1169"/>
    <x v="342"/>
    <s v="07:11:33"/>
    <x v="28"/>
    <n v="431.44"/>
    <n v="3"/>
    <x v="0"/>
    <s v="8%"/>
    <n v="6"/>
    <x v="0"/>
    <n v="70"/>
    <d v="2023-02-26T00:00:00"/>
    <n v="3"/>
    <s v="03:38:41"/>
    <n v="109.14559999999983"/>
    <n v="1294.32"/>
    <n v="1364.32"/>
    <n v="1255.1744000000001"/>
  </r>
  <r>
    <x v="94"/>
    <s v="Regina Hawkins"/>
    <s v="Regina"/>
    <s v="Hawkins"/>
    <n v="47"/>
    <x v="1"/>
    <x v="0"/>
    <s v="regina.hawkins@rediffmail.com"/>
    <s v="096 Santos Neck Apt. 937, Benjaminmouth, FL 61454"/>
    <s v="OID6775"/>
    <x v="89"/>
    <s v="06:54:03"/>
    <x v="16"/>
    <n v="132.97"/>
    <n v="1"/>
    <x v="1"/>
    <s v="15%"/>
    <n v="6"/>
    <x v="1"/>
    <n v="37"/>
    <d v="2023-09-21T00:00:00"/>
    <n v="7"/>
    <s v="01:13:09"/>
    <n v="25.495499999999993"/>
    <n v="132.97"/>
    <n v="169.97"/>
    <n v="144.47450000000001"/>
  </r>
  <r>
    <x v="94"/>
    <s v="Regina Hawkins"/>
    <s v="Regina"/>
    <s v="Hawkins"/>
    <n v="47"/>
    <x v="1"/>
    <x v="0"/>
    <s v="regina.hawkins@rediffmail.com"/>
    <s v="096 Santos Neck Apt. 937, Benjaminmouth, FL 61454"/>
    <s v="OID2383"/>
    <x v="343"/>
    <s v="04:44:42"/>
    <x v="24"/>
    <n v="481.48"/>
    <n v="2"/>
    <x v="2"/>
    <s v="0 delivery charge"/>
    <n v="5"/>
    <x v="0"/>
    <n v="45"/>
    <d v="2023-04-01T00:00:00"/>
    <n v="2"/>
    <s v="02:15:04"/>
    <n v="45"/>
    <n v="962.96"/>
    <n v="1007.96"/>
    <n v="962.96"/>
  </r>
  <r>
    <x v="99"/>
    <s v="Diana French"/>
    <s v="Diana"/>
    <s v="French"/>
    <n v="54"/>
    <x v="1"/>
    <x v="2"/>
    <s v="diana.french@outlook.com"/>
    <s v="163 Jeffrey Drive, South Mary, NH 23999"/>
    <s v="OID3750"/>
    <x v="327"/>
    <s v="04:44:04"/>
    <x v="32"/>
    <n v="87.09"/>
    <n v="5"/>
    <x v="1"/>
    <s v="15%"/>
    <n v="7"/>
    <x v="0"/>
    <n v="40"/>
    <d v="2024-10-24T00:00:00"/>
    <n v="2"/>
    <s v="21:00:20"/>
    <n v="71.317499999999995"/>
    <n v="435.45000000000005"/>
    <n v="475.45000000000005"/>
    <n v="404.13250000000005"/>
  </r>
  <r>
    <x v="70"/>
    <s v="Edward Black"/>
    <s v="Edward"/>
    <s v="Black"/>
    <n v="42"/>
    <x v="0"/>
    <x v="2"/>
    <s v="edward.black@gmail.com"/>
    <s v="5879 Susan Via Apt. 886, Sandovalbury, WV 61449"/>
    <s v="OID4837"/>
    <x v="344"/>
    <s v="22:42:38"/>
    <x v="45"/>
    <n v="381.73"/>
    <n v="5"/>
    <x v="1"/>
    <s v="15%"/>
    <n v="1"/>
    <x v="1"/>
    <n v="53"/>
    <d v="2024-11-07T00:00:00"/>
    <n v="7"/>
    <s v="12:41:59"/>
    <n v="294.24749999999995"/>
    <n v="1908.65"/>
    <n v="1961.65"/>
    <n v="1667.4025000000001"/>
  </r>
  <r>
    <x v="87"/>
    <s v="Jared Horn"/>
    <s v="Jared"/>
    <s v="Horn"/>
    <n v="43"/>
    <x v="0"/>
    <x v="4"/>
    <s v="jared.horn@outlook.com"/>
    <s v="43325 Barbara Tunnel, Port James, LA 16246"/>
    <s v="OID6975"/>
    <x v="345"/>
    <s v="18:23:17"/>
    <x v="28"/>
    <n v="431.44"/>
    <n v="3"/>
    <x v="1"/>
    <s v="15%"/>
    <n v="4"/>
    <x v="1"/>
    <n v="58"/>
    <d v="2023-06-15T00:00:00"/>
    <n v="5"/>
    <s v="19:23:44"/>
    <n v="202.84799999999996"/>
    <n v="1294.32"/>
    <n v="1352.32"/>
    <n v="1149.472"/>
  </r>
  <r>
    <x v="92"/>
    <s v="Lauren Crane"/>
    <s v="Lauren"/>
    <s v="Crane"/>
    <n v="62"/>
    <x v="1"/>
    <x v="1"/>
    <s v="lauren.crane@yahoo.com"/>
    <s v="30313 Reyes Parkways Suite 392, Port Bradley, SC 24078"/>
    <s v="OID1869"/>
    <x v="210"/>
    <s v="12:14:10"/>
    <x v="42"/>
    <n v="235.63"/>
    <n v="3"/>
    <x v="2"/>
    <s v="0 delivery charge"/>
    <n v="6"/>
    <x v="0"/>
    <n v="41"/>
    <d v="2024-04-16T00:00:00"/>
    <n v="5"/>
    <s v="03:34:04"/>
    <n v="41"/>
    <n v="706.89"/>
    <n v="747.89"/>
    <n v="706.89"/>
  </r>
  <r>
    <x v="13"/>
    <s v="Erin Miller"/>
    <s v="Erin"/>
    <s v="Miller"/>
    <n v="46"/>
    <x v="0"/>
    <x v="6"/>
    <s v="erin.miller@gmail.com"/>
    <s v="65972 Peterson Route, Port Andrewfurt, SD 32892"/>
    <s v="OID3921"/>
    <x v="77"/>
    <s v="04:53:45"/>
    <x v="26"/>
    <n v="372.62"/>
    <n v="4"/>
    <x v="0"/>
    <s v="8%"/>
    <n v="3"/>
    <x v="1"/>
    <n v="48"/>
    <d v="2024-08-26T00:00:00"/>
    <n v="5"/>
    <s v="05:48:22"/>
    <n v="123.07839999999987"/>
    <n v="1490.48"/>
    <n v="1538.48"/>
    <n v="1415.4016000000001"/>
  </r>
  <r>
    <x v="28"/>
    <s v="Jenny Estrada"/>
    <s v="Jenny"/>
    <s v="Estrada"/>
    <n v="45"/>
    <x v="0"/>
    <x v="1"/>
    <s v="jenny.estrada@yahoo.com"/>
    <s v="792 Carlos Islands, West David, CT 16522"/>
    <s v="OID4056"/>
    <x v="346"/>
    <s v="10:23:23"/>
    <x v="40"/>
    <n v="445.81"/>
    <n v="3"/>
    <x v="3"/>
    <s v="20%"/>
    <n v="1"/>
    <x v="1"/>
    <n v="58"/>
    <d v="2023-07-02T00:00:00"/>
    <n v="6"/>
    <s v="21:18:46"/>
    <n v="279.08600000000001"/>
    <n v="1337.43"/>
    <n v="1395.43"/>
    <n v="1116.3440000000001"/>
  </r>
  <r>
    <x v="58"/>
    <s v="Amy Ellis"/>
    <s v="Amy"/>
    <s v="Ellis"/>
    <n v="44"/>
    <x v="2"/>
    <x v="3"/>
    <s v="amy.ellis@gmail.com"/>
    <s v="217 Scott Ville, Christophermouth, NH 83776"/>
    <s v="OID4907"/>
    <x v="347"/>
    <s v="20:13:44"/>
    <x v="39"/>
    <n v="403.03"/>
    <n v="2"/>
    <x v="1"/>
    <s v="15%"/>
    <n v="7"/>
    <x v="2"/>
    <n v="39"/>
    <d v="2024-05-05T00:00:00"/>
    <n v="7"/>
    <s v="09:06:18"/>
    <n v="126.75900000000001"/>
    <n v="806.06"/>
    <n v="845.06"/>
    <n v="718.30099999999993"/>
  </r>
  <r>
    <x v="74"/>
    <s v="Amy Griffin"/>
    <s v="Amy"/>
    <s v="Griffin"/>
    <n v="29"/>
    <x v="0"/>
    <x v="1"/>
    <s v="amy.griffin@rediffmail.com"/>
    <s v="07350 Aaron Meadow Suite 138, Kiaraberg, AL 79545"/>
    <s v="OID9684"/>
    <x v="267"/>
    <s v="12:43:07"/>
    <x v="27"/>
    <n v="496.59"/>
    <n v="5"/>
    <x v="0"/>
    <s v="8%"/>
    <n v="3"/>
    <x v="0"/>
    <n v="61"/>
    <d v="2024-05-13T00:00:00"/>
    <n v="2"/>
    <s v="05:09:35"/>
    <n v="203.51600000000008"/>
    <n v="2482.9499999999998"/>
    <n v="2543.9499999999998"/>
    <n v="2340.4339999999997"/>
  </r>
  <r>
    <x v="3"/>
    <s v="Angela Horne"/>
    <s v="Angela"/>
    <s v="Horne"/>
    <n v="49"/>
    <x v="2"/>
    <x v="0"/>
    <s v="angela.horne@outlook.com"/>
    <s v="USNV Mueller, FPO AP 54648"/>
    <s v="OID2044"/>
    <x v="14"/>
    <s v="22:16:48"/>
    <x v="29"/>
    <n v="44.5"/>
    <n v="3"/>
    <x v="3"/>
    <s v="20%"/>
    <n v="7"/>
    <x v="0"/>
    <n v="40"/>
    <d v="2024-03-31T00:00:00"/>
    <n v="5"/>
    <s v="16:09:18"/>
    <n v="34.699999999999989"/>
    <n v="133.5"/>
    <n v="173.5"/>
    <n v="138.80000000000001"/>
  </r>
  <r>
    <x v="92"/>
    <s v="Lauren Crane"/>
    <s v="Lauren"/>
    <s v="Crane"/>
    <n v="62"/>
    <x v="1"/>
    <x v="1"/>
    <s v="lauren.crane@yahoo.com"/>
    <s v="30313 Reyes Parkways Suite 392, Port Bradley, SC 24078"/>
    <s v="OID6436"/>
    <x v="64"/>
    <s v="13:00:52"/>
    <x v="20"/>
    <n v="62.42"/>
    <n v="5"/>
    <x v="2"/>
    <s v="0 delivery charge"/>
    <n v="2"/>
    <x v="2"/>
    <n v="47"/>
    <d v="2024-06-10T00:00:00"/>
    <n v="2"/>
    <s v="00:18:32"/>
    <n v="47"/>
    <n v="312.10000000000002"/>
    <n v="359.1"/>
    <n v="312.10000000000002"/>
  </r>
  <r>
    <x v="63"/>
    <s v="Gregory Lee"/>
    <s v="Gregory"/>
    <s v="Lee"/>
    <n v="26"/>
    <x v="2"/>
    <x v="2"/>
    <s v="gregory.lee@rediffmail.com"/>
    <s v="619 Parker Turnpike Apt. 025, West Brucehaven, ID 48437"/>
    <s v="OID9374"/>
    <x v="348"/>
    <s v="15:33:07"/>
    <x v="32"/>
    <n v="87.09"/>
    <n v="4"/>
    <x v="4"/>
    <s v="10%"/>
    <n v="5"/>
    <x v="1"/>
    <n v="45"/>
    <d v="2024-03-17T00:00:00"/>
    <n v="6"/>
    <s v="15:51:15"/>
    <n v="39.336000000000013"/>
    <n v="348.36"/>
    <n v="393.36"/>
    <n v="354.024"/>
  </r>
  <r>
    <x v="26"/>
    <s v="Heather Schneider"/>
    <s v="Heather"/>
    <s v="Schneider"/>
    <n v="48"/>
    <x v="1"/>
    <x v="3"/>
    <s v="heather.schneider@outlook.com"/>
    <s v="57940 Susan Creek Apt. 541, Port Aliciamouth, OR 90221"/>
    <s v="OID2767"/>
    <x v="126"/>
    <s v="16:58:37"/>
    <x v="25"/>
    <n v="77.84"/>
    <n v="4"/>
    <x v="3"/>
    <s v="20%"/>
    <n v="5"/>
    <x v="0"/>
    <n v="55"/>
    <d v="2023-12-26T00:00:00"/>
    <n v="3"/>
    <s v="01:05:53"/>
    <n v="73.271999999999991"/>
    <n v="311.36"/>
    <n v="366.36"/>
    <n v="293.08800000000002"/>
  </r>
  <r>
    <x v="98"/>
    <s v="Janice Gordon"/>
    <s v="Janice"/>
    <s v="Gordon"/>
    <n v="43"/>
    <x v="0"/>
    <x v="1"/>
    <s v="janice.gordon@yahoo.com"/>
    <s v="5812 Evelyn Mountains Suite 845, Ortiztown, MN 86166"/>
    <s v="OID8981"/>
    <x v="221"/>
    <s v="15:06:44"/>
    <x v="25"/>
    <n v="77.84"/>
    <n v="5"/>
    <x v="4"/>
    <s v="10%"/>
    <n v="2"/>
    <x v="1"/>
    <n v="53"/>
    <d v="2023-04-01T00:00:00"/>
    <n v="5"/>
    <s v="14:31:29"/>
    <n v="44.21999999999997"/>
    <n v="389.20000000000005"/>
    <n v="442.20000000000005"/>
    <n v="397.98000000000008"/>
  </r>
  <r>
    <x v="45"/>
    <s v="Debra Hayes"/>
    <s v="Debra"/>
    <s v="Hayes"/>
    <n v="33"/>
    <x v="0"/>
    <x v="6"/>
    <s v="debra.hayes@yahoo.com"/>
    <s v="4601 Miller Lock, Williamsbury, IA 10943"/>
    <s v="OID2246"/>
    <x v="349"/>
    <s v="05:36:29"/>
    <x v="16"/>
    <n v="132.97"/>
    <n v="4"/>
    <x v="2"/>
    <s v="0 delivery charge"/>
    <n v="6"/>
    <x v="1"/>
    <n v="63"/>
    <d v="2024-08-31T00:00:00"/>
    <n v="7"/>
    <s v="07:21:52"/>
    <n v="63"/>
    <n v="531.88"/>
    <n v="594.88"/>
    <n v="531.88"/>
  </r>
  <r>
    <x v="21"/>
    <s v="Angela Evans"/>
    <s v="Angela"/>
    <s v="Evans"/>
    <n v="52"/>
    <x v="2"/>
    <x v="1"/>
    <s v="angela.evans@outlook.com"/>
    <s v="16031 David Mountain Suite 431, Susanborough, PA 01910"/>
    <s v="OID1779"/>
    <x v="350"/>
    <s v="12:50:57"/>
    <x v="15"/>
    <n v="461.07"/>
    <n v="3"/>
    <x v="1"/>
    <s v="15%"/>
    <n v="4"/>
    <x v="0"/>
    <n v="54"/>
    <d v="2024-03-06T00:00:00"/>
    <n v="3"/>
    <s v="01:24:34"/>
    <n v="215.58150000000001"/>
    <n v="1383.21"/>
    <n v="1437.21"/>
    <n v="1221.6285"/>
  </r>
  <r>
    <x v="59"/>
    <s v="Beth Mason"/>
    <s v="Beth"/>
    <s v="Mason"/>
    <n v="45"/>
    <x v="2"/>
    <x v="3"/>
    <s v="beth.mason@outlook.com"/>
    <s v="58998 Sherry Haven, East Richard, FL 90775"/>
    <s v="OID2005"/>
    <x v="311"/>
    <s v="12:10:00"/>
    <x v="1"/>
    <n v="166.28"/>
    <n v="1"/>
    <x v="2"/>
    <s v="0 delivery charge"/>
    <n v="2"/>
    <x v="0"/>
    <n v="38"/>
    <d v="2024-02-06T00:00:00"/>
    <n v="1"/>
    <s v="09:31:36"/>
    <n v="38"/>
    <n v="166.28"/>
    <n v="204.28"/>
    <n v="166.28"/>
  </r>
  <r>
    <x v="99"/>
    <s v="Diana French"/>
    <s v="Diana"/>
    <s v="French"/>
    <n v="54"/>
    <x v="1"/>
    <x v="2"/>
    <s v="diana.french@outlook.com"/>
    <s v="163 Jeffrey Drive, South Mary, NH 23999"/>
    <s v="OID6485"/>
    <x v="351"/>
    <s v="13:21:50"/>
    <x v="38"/>
    <n v="477.52"/>
    <n v="4"/>
    <x v="4"/>
    <s v="10%"/>
    <n v="3"/>
    <x v="0"/>
    <n v="54"/>
    <d v="2024-03-03T00:00:00"/>
    <n v="1"/>
    <s v="18:29:46"/>
    <n v="196.4079999999999"/>
    <n v="1910.08"/>
    <n v="1964.08"/>
    <n v="1767.672"/>
  </r>
  <r>
    <x v="37"/>
    <s v="Alexandra Smith"/>
    <s v="Alexandra"/>
    <s v="Smith"/>
    <n v="70"/>
    <x v="0"/>
    <x v="0"/>
    <s v="alexandra.smith@rediffmail.com"/>
    <s v="48611 Clark Village, West Anne, GA 92865"/>
    <s v="OID6319"/>
    <x v="192"/>
    <s v="18:25:37"/>
    <x v="38"/>
    <n v="477.52"/>
    <n v="5"/>
    <x v="4"/>
    <s v="10%"/>
    <n v="7"/>
    <x v="0"/>
    <n v="53"/>
    <d v="2024-04-12T00:00:00"/>
    <n v="2"/>
    <s v="09:32:58"/>
    <n v="244.05999999999995"/>
    <n v="2387.6"/>
    <n v="2440.6"/>
    <n v="2196.54"/>
  </r>
  <r>
    <x v="98"/>
    <s v="Janice Gordon"/>
    <s v="Janice"/>
    <s v="Gordon"/>
    <n v="43"/>
    <x v="0"/>
    <x v="1"/>
    <s v="janice.gordon@yahoo.com"/>
    <s v="5812 Evelyn Mountains Suite 845, Ortiztown, MN 86166"/>
    <s v="OID9461"/>
    <x v="352"/>
    <s v="14:34:14"/>
    <x v="22"/>
    <n v="158.53"/>
    <n v="2"/>
    <x v="2"/>
    <s v="0 delivery charge"/>
    <n v="5"/>
    <x v="0"/>
    <n v="69"/>
    <d v="2023-12-01T00:00:00"/>
    <n v="2"/>
    <s v="17:45:57"/>
    <n v="69"/>
    <n v="317.06"/>
    <n v="386.06"/>
    <n v="317.06"/>
  </r>
  <r>
    <x v="17"/>
    <s v="Deborah Bates"/>
    <s v="Deborah"/>
    <s v="Bates"/>
    <n v="23"/>
    <x v="0"/>
    <x v="3"/>
    <s v="deborah.bates@yahoo.com"/>
    <s v="278 Kathy Estate, Saraville, OH 77292"/>
    <s v="OID4522"/>
    <x v="353"/>
    <s v="00:44:05"/>
    <x v="3"/>
    <n v="405"/>
    <n v="3"/>
    <x v="4"/>
    <s v="10%"/>
    <n v="5"/>
    <x v="1"/>
    <n v="54"/>
    <d v="2024-03-28T00:00:00"/>
    <n v="6"/>
    <s v="19:29:03"/>
    <n v="126.89999999999986"/>
    <n v="1215"/>
    <n v="1269"/>
    <n v="1142.1000000000001"/>
  </r>
  <r>
    <x v="44"/>
    <s v="Lori Cook"/>
    <s v="Lori"/>
    <s v="Cook"/>
    <n v="18"/>
    <x v="1"/>
    <x v="1"/>
    <s v="lori.cook@rediffmail.com"/>
    <s v="86837 Bell Meadows, North Jasonshire, UT 51354"/>
    <s v="OID9862"/>
    <x v="340"/>
    <s v="05:02:45"/>
    <x v="48"/>
    <n v="107.47"/>
    <n v="4"/>
    <x v="4"/>
    <s v="10%"/>
    <n v="3"/>
    <x v="1"/>
    <n v="65"/>
    <d v="2024-04-03T00:00:00"/>
    <n v="5"/>
    <s v="14:00:57"/>
    <n v="49.488"/>
    <n v="429.88"/>
    <n v="494.88"/>
    <n v="445.392"/>
  </r>
  <r>
    <x v="46"/>
    <s v="Brittany Stewart"/>
    <s v="Brittany"/>
    <s v="Stewart"/>
    <n v="68"/>
    <x v="2"/>
    <x v="7"/>
    <s v="brittany.stewart@gmail.com"/>
    <s v="6250 David Loaf Suite 561, North Pamelaberg, WV 63652"/>
    <s v="OID6361"/>
    <x v="354"/>
    <s v="16:28:38"/>
    <x v="19"/>
    <n v="128.13999999999999"/>
    <n v="3"/>
    <x v="3"/>
    <s v="20%"/>
    <n v="2"/>
    <x v="1"/>
    <n v="59"/>
    <d v="2023-05-30T00:00:00"/>
    <n v="4"/>
    <s v="01:06:14"/>
    <n v="88.683999999999969"/>
    <n v="384.41999999999996"/>
    <n v="443.41999999999996"/>
    <n v="354.73599999999999"/>
  </r>
  <r>
    <x v="15"/>
    <s v="Mallory Mitchell"/>
    <s v="Mallory"/>
    <s v="Mitchell"/>
    <n v="42"/>
    <x v="1"/>
    <x v="6"/>
    <s v="mallory.mitchell@yahoo.com"/>
    <s v="710 Anthony Wall Suite 137, East Davidstad, NV 61494"/>
    <s v="OID7238"/>
    <x v="355"/>
    <s v="08:22:36"/>
    <x v="14"/>
    <n v="20.7"/>
    <n v="1"/>
    <x v="4"/>
    <s v="10%"/>
    <n v="5"/>
    <x v="0"/>
    <n v="55"/>
    <d v="2023-12-31T00:00:00"/>
    <n v="1"/>
    <s v="07:46:17"/>
    <n v="7.5699999999999932"/>
    <n v="20.7"/>
    <n v="75.7"/>
    <n v="68.13000000000001"/>
  </r>
  <r>
    <x v="15"/>
    <s v="Mallory Mitchell"/>
    <s v="Mallory"/>
    <s v="Mitchell"/>
    <n v="42"/>
    <x v="1"/>
    <x v="6"/>
    <s v="mallory.mitchell@yahoo.com"/>
    <s v="710 Anthony Wall Suite 137, East Davidstad, NV 61494"/>
    <s v="OID8446"/>
    <x v="356"/>
    <s v="02:53:11"/>
    <x v="20"/>
    <n v="62.42"/>
    <n v="3"/>
    <x v="0"/>
    <s v="8%"/>
    <n v="6"/>
    <x v="0"/>
    <n v="39"/>
    <d v="2023-07-22T00:00:00"/>
    <n v="1"/>
    <s v="03:53:13"/>
    <n v="18.100799999999992"/>
    <n v="187.26"/>
    <n v="226.26"/>
    <n v="208.1592"/>
  </r>
  <r>
    <x v="16"/>
    <s v="Traci Jones"/>
    <s v="Traci"/>
    <s v="Jones"/>
    <n v="34"/>
    <x v="0"/>
    <x v="3"/>
    <s v="traci.jones@yahoo.com"/>
    <s v="4016 Ryan Passage, Collinsside, PA 88777"/>
    <s v="OID9459"/>
    <x v="126"/>
    <s v="08:17:07"/>
    <x v="24"/>
    <n v="481.48"/>
    <n v="1"/>
    <x v="0"/>
    <s v="8%"/>
    <n v="5"/>
    <x v="0"/>
    <n v="70"/>
    <d v="2023-12-27T00:00:00"/>
    <n v="4"/>
    <s v="07:01:18"/>
    <n v="44.118399999999951"/>
    <n v="481.48"/>
    <n v="551.48"/>
    <n v="507.36160000000007"/>
  </r>
  <r>
    <x v="29"/>
    <s v="Courtney Parker"/>
    <s v="Courtney"/>
    <s v="Parker"/>
    <n v="29"/>
    <x v="2"/>
    <x v="3"/>
    <s v="courtney.parker@yahoo.com"/>
    <s v="087 Jacqueline Rue Apt. 694, East Tasha, SC 04859"/>
    <s v="OID6433"/>
    <x v="336"/>
    <s v="01:02:33"/>
    <x v="0"/>
    <n v="308.88"/>
    <n v="3"/>
    <x v="3"/>
    <s v="20%"/>
    <n v="5"/>
    <x v="0"/>
    <n v="68"/>
    <d v="2024-12-10T00:00:00"/>
    <n v="3"/>
    <s v="03:31:58"/>
    <n v="198.928"/>
    <n v="926.64"/>
    <n v="994.64"/>
    <n v="795.71199999999999"/>
  </r>
  <r>
    <x v="84"/>
    <s v="Hannah Gutierrez"/>
    <s v="Hannah"/>
    <s v="Gutierrez"/>
    <n v="55"/>
    <x v="1"/>
    <x v="5"/>
    <s v="hannah.gutierrez@yahoo.com"/>
    <s v="2420 David Manors, Jessicaland, CT 41698"/>
    <s v="OID3128"/>
    <x v="357"/>
    <s v="22:17:42"/>
    <x v="7"/>
    <n v="48.45"/>
    <n v="3"/>
    <x v="3"/>
    <s v="20%"/>
    <n v="6"/>
    <x v="0"/>
    <n v="43"/>
    <d v="2024-03-07T00:00:00"/>
    <n v="2"/>
    <s v="09:42:50"/>
    <n v="37.669999999999987"/>
    <n v="145.35000000000002"/>
    <n v="188.35000000000002"/>
    <n v="150.68000000000004"/>
  </r>
  <r>
    <x v="9"/>
    <s v="Joseph Stewart"/>
    <s v="Joseph"/>
    <s v="Stewart"/>
    <n v="30"/>
    <x v="1"/>
    <x v="1"/>
    <s v="joseph.stewart@yahoo.com"/>
    <s v="4082 Wang Terrace Suite 040, Victorialand, ME 41532"/>
    <s v="OID8972"/>
    <x v="211"/>
    <s v="07:36:32"/>
    <x v="48"/>
    <n v="107.47"/>
    <n v="4"/>
    <x v="0"/>
    <s v="8%"/>
    <n v="2"/>
    <x v="1"/>
    <n v="35"/>
    <d v="2023-09-22T00:00:00"/>
    <n v="3"/>
    <s v="09:34:23"/>
    <n v="37.190399999999954"/>
    <n v="429.88"/>
    <n v="464.88"/>
    <n v="427.68960000000004"/>
  </r>
  <r>
    <x v="35"/>
    <s v="Aaron Thompson"/>
    <s v="Aaron"/>
    <s v="Thompson"/>
    <n v="47"/>
    <x v="1"/>
    <x v="3"/>
    <s v="aaron.thompson@gmail.com"/>
    <s v="PSC 0550, Box 2737, APO AE 75772"/>
    <s v="OID5970"/>
    <x v="318"/>
    <s v="07:39:59"/>
    <x v="35"/>
    <n v="441.03"/>
    <n v="5"/>
    <x v="0"/>
    <s v="8%"/>
    <n v="5"/>
    <x v="0"/>
    <n v="62"/>
    <d v="2025-01-25T00:00:00"/>
    <n v="1"/>
    <s v="04:52:06"/>
    <n v="181.37199999999984"/>
    <n v="2205.1499999999996"/>
    <n v="2267.1499999999996"/>
    <n v="2085.7779999999998"/>
  </r>
  <r>
    <x v="54"/>
    <s v="Ashley Romero"/>
    <s v="Ashley"/>
    <s v="Romero"/>
    <n v="35"/>
    <x v="0"/>
    <x v="0"/>
    <s v="ashley.romero@yahoo.com"/>
    <s v="547 Kerry Expressway, Lake Amanda, AR 20321"/>
    <s v="OID3491"/>
    <x v="281"/>
    <s v="18:04:56"/>
    <x v="49"/>
    <n v="33.49"/>
    <n v="4"/>
    <x v="3"/>
    <s v="20%"/>
    <n v="7"/>
    <x v="0"/>
    <n v="54"/>
    <d v="2023-03-23T00:00:00"/>
    <n v="1"/>
    <s v="06:42:40"/>
    <n v="37.591999999999985"/>
    <n v="133.96"/>
    <n v="187.96"/>
    <n v="150.36800000000002"/>
  </r>
  <r>
    <x v="63"/>
    <s v="Gregory Lee"/>
    <s v="Gregory"/>
    <s v="Lee"/>
    <n v="26"/>
    <x v="2"/>
    <x v="2"/>
    <s v="gregory.lee@rediffmail.com"/>
    <s v="619 Parker Turnpike Apt. 025, West Brucehaven, ID 48437"/>
    <s v="OID6651"/>
    <x v="358"/>
    <s v="03:18:41"/>
    <x v="49"/>
    <n v="33.49"/>
    <n v="1"/>
    <x v="1"/>
    <s v="15%"/>
    <n v="4"/>
    <x v="0"/>
    <n v="44"/>
    <d v="2023-10-07T00:00:00"/>
    <n v="2"/>
    <s v="01:31:23"/>
    <n v="11.623500000000007"/>
    <n v="33.49"/>
    <n v="77.490000000000009"/>
    <n v="65.866500000000002"/>
  </r>
  <r>
    <x v="46"/>
    <s v="Brittany Stewart"/>
    <s v="Brittany"/>
    <s v="Stewart"/>
    <n v="68"/>
    <x v="2"/>
    <x v="7"/>
    <s v="brittany.stewart@gmail.com"/>
    <s v="6250 David Loaf Suite 561, North Pamelaberg, WV 63652"/>
    <s v="OID2861"/>
    <x v="359"/>
    <s v="20:38:05"/>
    <x v="20"/>
    <n v="62.42"/>
    <n v="4"/>
    <x v="2"/>
    <s v="0 delivery charge"/>
    <n v="4"/>
    <x v="1"/>
    <n v="37"/>
    <d v="2024-11-01T00:00:00"/>
    <n v="7"/>
    <s v="02:58:16"/>
    <n v="37"/>
    <n v="249.68"/>
    <n v="286.68"/>
    <n v="249.68"/>
  </r>
  <r>
    <x v="32"/>
    <s v="Robert Castillo"/>
    <s v="Robert"/>
    <s v="Castillo"/>
    <n v="32"/>
    <x v="1"/>
    <x v="6"/>
    <s v="robert.castillo@gmail.com"/>
    <s v="7143 Brandon Skyway Suite 899, Tylerton, IA 21756"/>
    <s v="OID3302"/>
    <x v="188"/>
    <s v="08:32:59"/>
    <x v="23"/>
    <n v="129.75"/>
    <n v="1"/>
    <x v="0"/>
    <s v="8%"/>
    <n v="7"/>
    <x v="0"/>
    <n v="56"/>
    <d v="2023-10-20T00:00:00"/>
    <n v="2"/>
    <s v="03:32:40"/>
    <n v="14.859999999999985"/>
    <n v="129.75"/>
    <n v="185.75"/>
    <n v="170.89000000000001"/>
  </r>
  <r>
    <x v="14"/>
    <s v="Gina Moreno"/>
    <s v="Gina"/>
    <s v="Moreno"/>
    <n v="36"/>
    <x v="2"/>
    <x v="4"/>
    <s v="gina.moreno@rediffmail.com"/>
    <s v="USS Murray, FPO AP 66559"/>
    <s v="OID9922"/>
    <x v="360"/>
    <s v="12:42:28"/>
    <x v="14"/>
    <n v="20.7"/>
    <n v="4"/>
    <x v="3"/>
    <s v="20%"/>
    <n v="1"/>
    <x v="1"/>
    <n v="61"/>
    <d v="2023-09-15T00:00:00"/>
    <n v="2"/>
    <s v="16:13:49"/>
    <n v="28.759999999999991"/>
    <n v="82.8"/>
    <n v="143.80000000000001"/>
    <n v="115.04000000000002"/>
  </r>
  <r>
    <x v="10"/>
    <s v="Kara Brennan"/>
    <s v="Kara"/>
    <s v="Brennan"/>
    <n v="25"/>
    <x v="2"/>
    <x v="4"/>
    <s v="kara.brennan@outlook.com"/>
    <s v="2174 Thomas Avenue, Maciasborough, NJ 41465"/>
    <s v="OID4613"/>
    <x v="255"/>
    <s v="10:24:01"/>
    <x v="11"/>
    <n v="220.27"/>
    <n v="3"/>
    <x v="2"/>
    <s v="0 delivery charge"/>
    <n v="4"/>
    <x v="0"/>
    <n v="50"/>
    <d v="2023-07-01T00:00:00"/>
    <n v="1"/>
    <s v="06:25:35"/>
    <n v="50"/>
    <n v="660.81000000000006"/>
    <n v="710.81000000000006"/>
    <n v="660.81000000000006"/>
  </r>
  <r>
    <x v="19"/>
    <s v="Mark Henderson"/>
    <s v="Mark"/>
    <s v="Henderson"/>
    <n v="33"/>
    <x v="2"/>
    <x v="7"/>
    <s v="mark.henderson@yahoo.com"/>
    <s v="90155 Hines Spring, North Theresafurt, ME 31920"/>
    <s v="OID7483"/>
    <x v="361"/>
    <s v="12:19:38"/>
    <x v="41"/>
    <n v="433.62"/>
    <n v="2"/>
    <x v="0"/>
    <s v="8%"/>
    <n v="7"/>
    <x v="2"/>
    <n v="56"/>
    <d v="2023-04-23T00:00:00"/>
    <n v="7"/>
    <s v="00:24:54"/>
    <n v="73.859199999999987"/>
    <n v="867.24"/>
    <n v="923.24"/>
    <n v="849.38080000000002"/>
  </r>
  <r>
    <x v="93"/>
    <s v="Katie Hicks"/>
    <s v="Katie"/>
    <s v="Hicks"/>
    <n v="34"/>
    <x v="2"/>
    <x v="5"/>
    <s v="katie.hicks@rediffmail.com"/>
    <s v="848 William Port, New Marilyn, SD 58000"/>
    <s v="OID7418"/>
    <x v="362"/>
    <s v="01:15:18"/>
    <x v="19"/>
    <n v="128.13999999999999"/>
    <n v="3"/>
    <x v="0"/>
    <s v="8%"/>
    <n v="5"/>
    <x v="2"/>
    <n v="49"/>
    <d v="2024-07-22T00:00:00"/>
    <n v="5"/>
    <s v="16:11:48"/>
    <n v="34.673599999999965"/>
    <n v="384.41999999999996"/>
    <n v="433.41999999999996"/>
    <n v="398.74639999999999"/>
  </r>
  <r>
    <x v="99"/>
    <s v="Diana French"/>
    <s v="Diana"/>
    <s v="French"/>
    <n v="54"/>
    <x v="1"/>
    <x v="2"/>
    <s v="diana.french@outlook.com"/>
    <s v="163 Jeffrey Drive, South Mary, NH 23999"/>
    <s v="OID3361"/>
    <x v="363"/>
    <s v="09:50:05"/>
    <x v="12"/>
    <n v="272.51"/>
    <n v="5"/>
    <x v="2"/>
    <s v="0 delivery charge"/>
    <n v="3"/>
    <x v="1"/>
    <n v="66"/>
    <d v="2024-04-06T00:00:00"/>
    <n v="7"/>
    <s v="23:38:57"/>
    <n v="66"/>
    <n v="1362.55"/>
    <n v="1428.55"/>
    <n v="1362.55"/>
  </r>
  <r>
    <x v="39"/>
    <s v="Amanda Howard"/>
    <s v="Amanda"/>
    <s v="Howard"/>
    <n v="52"/>
    <x v="2"/>
    <x v="7"/>
    <s v="amanda.howard@outlook.com"/>
    <s v="56908 Sydney Park Suite 632, West Anthonyport, NC 15954"/>
    <s v="OID7475"/>
    <x v="364"/>
    <s v="08:30:03"/>
    <x v="43"/>
    <n v="424.82"/>
    <n v="2"/>
    <x v="2"/>
    <s v="0 delivery charge"/>
    <n v="6"/>
    <x v="0"/>
    <n v="63"/>
    <d v="2024-07-04T00:00:00"/>
    <n v="5"/>
    <s v="17:07:47"/>
    <n v="63"/>
    <n v="849.64"/>
    <n v="912.64"/>
    <n v="849.64"/>
  </r>
  <r>
    <x v="21"/>
    <s v="Angela Evans"/>
    <s v="Angela"/>
    <s v="Evans"/>
    <n v="52"/>
    <x v="2"/>
    <x v="1"/>
    <s v="angela.evans@outlook.com"/>
    <s v="16031 David Mountain Suite 431, Susanborough, PA 01910"/>
    <s v="OID6847"/>
    <x v="254"/>
    <s v="17:02:09"/>
    <x v="29"/>
    <n v="44.5"/>
    <n v="4"/>
    <x v="2"/>
    <s v="0 delivery charge"/>
    <n v="3"/>
    <x v="2"/>
    <n v="45"/>
    <d v="2024-07-31T00:00:00"/>
    <n v="3"/>
    <s v="05:55:32"/>
    <n v="45"/>
    <n v="178"/>
    <n v="223"/>
    <n v="1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5EB61B-B623-490C-87AF-63CB2F626138}" name="PivotTable1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J3:K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IsLateDelivery" fld="1" subtotal="count" baseField="0" baseItem="0"/>
  </dataFields>
  <chartFormats count="4">
    <chartFormat chart="14" format="13" series="1">
      <pivotArea type="data" outline="0" fieldPosition="0">
        <references count="1">
          <reference field="4294967294" count="1" selected="0">
            <x v="0"/>
          </reference>
        </references>
      </pivotArea>
    </chartFormat>
    <chartFormat chart="14" format="14">
      <pivotArea type="data" outline="0" fieldPosition="0">
        <references count="2">
          <reference field="4294967294" count="1" selected="0">
            <x v="0"/>
          </reference>
          <reference field="0" count="1" selected="0">
            <x v="0"/>
          </reference>
        </references>
      </pivotArea>
    </chartFormat>
    <chartFormat chart="14" format="15">
      <pivotArea type="data" outline="0" fieldPosition="0">
        <references count="2">
          <reference field="4294967294" count="1" selected="0">
            <x v="0"/>
          </reference>
          <reference field="0" count="1" selected="0">
            <x v="1"/>
          </reference>
        </references>
      </pivotArea>
    </chartFormat>
    <chartFormat chart="14" format="16">
      <pivotArea type="data" outline="0" fieldPosition="0">
        <references count="2">
          <reference field="4294967294" count="1" selected="0">
            <x v="0"/>
          </reference>
          <reference field="0" count="1" selected="0">
            <x v="2"/>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new_Data!$A$1:$AA$5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41D9FD-31C2-40AF-ABC9-34A2B1B1ADA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8:G12" firstHeaderRow="1" firstDataRow="1" firstDataCol="1"/>
  <pivotFields count="27">
    <pivotField axis="axisRow" showAll="0" measureFilter="1" sortType="descending">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9">
        <item x="5"/>
        <item x="7"/>
        <item x="1"/>
        <item x="3"/>
        <item x="4"/>
        <item x="2"/>
        <item x="0"/>
        <item x="6"/>
        <item t="default"/>
      </items>
    </pivotField>
    <pivotField showAll="0"/>
    <pivotField showAll="0"/>
    <pivotField showAll="0"/>
    <pivotField numFmtId="164" showAll="0"/>
    <pivotField showAll="0"/>
    <pivotField showAll="0"/>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dataField="1" showAll="0"/>
  </pivotFields>
  <rowFields count="1">
    <field x="0"/>
  </rowFields>
  <rowItems count="4">
    <i>
      <x v="74"/>
    </i>
    <i>
      <x v="14"/>
    </i>
    <i>
      <x v="62"/>
    </i>
    <i t="grand">
      <x/>
    </i>
  </rowItems>
  <colItems count="1">
    <i/>
  </colItems>
  <dataFields count="1">
    <dataField name="Sum of Final_Amount" fld="26" baseField="0" baseItem="0"/>
  </dataFields>
  <chartFormats count="2">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0533D3-0679-4374-B91E-F8256DA145C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17:G23" firstHeaderRow="1" firstDataRow="1" firstDataCol="1"/>
  <pivotFields count="27">
    <pivotField showAll="0">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showAll="0">
      <items count="9">
        <item x="5"/>
        <item x="7"/>
        <item x="1"/>
        <item x="3"/>
        <item x="4"/>
        <item x="2"/>
        <item x="0"/>
        <item x="6"/>
        <item t="default"/>
      </items>
    </pivotField>
    <pivotField showAll="0"/>
    <pivotField showAll="0"/>
    <pivotField dataField="1" showAll="0"/>
    <pivotField numFmtId="164" showAll="0"/>
    <pivotField showAll="0"/>
    <pivotField axis="axisRow" showAll="0" measureFilter="1" sortType="descending">
      <items count="51">
        <item x="30"/>
        <item x="48"/>
        <item x="14"/>
        <item x="27"/>
        <item x="40"/>
        <item x="38"/>
        <item x="8"/>
        <item x="15"/>
        <item x="32"/>
        <item x="29"/>
        <item x="47"/>
        <item x="16"/>
        <item x="42"/>
        <item x="12"/>
        <item x="1"/>
        <item x="37"/>
        <item x="36"/>
        <item x="20"/>
        <item x="31"/>
        <item x="28"/>
        <item x="23"/>
        <item x="0"/>
        <item x="2"/>
        <item x="13"/>
        <item x="39"/>
        <item x="19"/>
        <item x="24"/>
        <item x="17"/>
        <item x="45"/>
        <item x="18"/>
        <item x="3"/>
        <item x="43"/>
        <item x="7"/>
        <item x="6"/>
        <item x="41"/>
        <item x="21"/>
        <item x="25"/>
        <item x="33"/>
        <item x="11"/>
        <item x="44"/>
        <item x="26"/>
        <item x="9"/>
        <item x="4"/>
        <item x="46"/>
        <item x="49"/>
        <item x="5"/>
        <item x="10"/>
        <item x="34"/>
        <item x="35"/>
        <item x="22"/>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showAll="0"/>
  </pivotFields>
  <rowFields count="1">
    <field x="12"/>
  </rowFields>
  <rowItems count="6">
    <i>
      <x v="35"/>
    </i>
    <i>
      <x v="45"/>
    </i>
    <i>
      <x v="47"/>
    </i>
    <i>
      <x v="26"/>
    </i>
    <i>
      <x v="17"/>
    </i>
    <i t="grand">
      <x/>
    </i>
  </rowItems>
  <colItems count="1">
    <i/>
  </colItems>
  <dataFields count="1">
    <dataField name="Count of Order_ID" fld="9" subtotal="count" baseField="0" baseItem="0"/>
  </dataFields>
  <chartFormats count="2">
    <chartFormat chart="8" format="1"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2"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992D8C-DF93-4D32-B886-6C08D8B88AC4}" name="PivotTable14"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J10:L39" firstHeaderRow="0" firstDataRow="1"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1"/>
  </rowFields>
  <rowItems count="29">
    <i>
      <x/>
    </i>
    <i r="1">
      <x/>
    </i>
    <i r="1">
      <x v="1"/>
    </i>
    <i r="1">
      <x v="2"/>
    </i>
    <i r="1">
      <x v="3"/>
    </i>
    <i r="1">
      <x v="4"/>
    </i>
    <i r="1">
      <x v="5"/>
    </i>
    <i r="1">
      <x v="6"/>
    </i>
    <i r="1">
      <x v="7"/>
    </i>
    <i r="1">
      <x v="8"/>
    </i>
    <i r="1">
      <x v="9"/>
    </i>
    <i r="1">
      <x v="10"/>
    </i>
    <i>
      <x v="1"/>
    </i>
    <i r="1">
      <x v="11"/>
    </i>
    <i r="1">
      <x/>
    </i>
    <i r="1">
      <x v="1"/>
    </i>
    <i r="1">
      <x v="2"/>
    </i>
    <i r="1">
      <x v="3"/>
    </i>
    <i r="1">
      <x v="4"/>
    </i>
    <i r="1">
      <x v="5"/>
    </i>
    <i r="1">
      <x v="6"/>
    </i>
    <i r="1">
      <x v="7"/>
    </i>
    <i r="1">
      <x v="8"/>
    </i>
    <i r="1">
      <x v="9"/>
    </i>
    <i r="1">
      <x v="10"/>
    </i>
    <i>
      <x v="2"/>
    </i>
    <i r="1">
      <x v="11"/>
    </i>
    <i r="1">
      <x/>
    </i>
    <i t="grand">
      <x/>
    </i>
  </rowItems>
  <colFields count="1">
    <field x="-2"/>
  </colFields>
  <colItems count="2">
    <i>
      <x/>
    </i>
    <i i="1">
      <x v="1"/>
    </i>
  </colItems>
  <dataFields count="2">
    <dataField name="Sum of Final_Amount" fld="2" baseField="0" baseItem="0"/>
    <dataField name="Sum of Discount_Amount" fld="3" baseField="0" baseItem="0"/>
  </dataFields>
  <chartFormats count="2">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7"/>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new_Data!$A$1:$AA$5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2D2EB4-09EA-4E5E-8AAE-7A3D34CBC544}"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C9:C59" firstHeaderRow="1" firstDataRow="1" firstDataCol="1"/>
  <pivotFields count="27">
    <pivotField showAll="0">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showAll="0"/>
    <pivotField showAll="0"/>
    <pivotField showAll="0"/>
    <pivotField showAll="0"/>
    <pivotField numFmtId="164" showAll="0"/>
    <pivotField showAll="0"/>
    <pivotField axis="axisRow" showAll="0">
      <items count="51">
        <item x="30"/>
        <item x="48"/>
        <item x="14"/>
        <item x="27"/>
        <item x="40"/>
        <item x="38"/>
        <item x="8"/>
        <item x="15"/>
        <item x="32"/>
        <item x="29"/>
        <item x="47"/>
        <item x="16"/>
        <item x="42"/>
        <item x="12"/>
        <item x="1"/>
        <item x="37"/>
        <item x="36"/>
        <item x="20"/>
        <item x="31"/>
        <item x="28"/>
        <item x="23"/>
        <item x="0"/>
        <item x="2"/>
        <item x="13"/>
        <item x="39"/>
        <item x="19"/>
        <item x="24"/>
        <item x="17"/>
        <item x="45"/>
        <item x="18"/>
        <item x="3"/>
        <item x="43"/>
        <item x="7"/>
        <item x="6"/>
        <item x="41"/>
        <item x="21"/>
        <item x="25"/>
        <item x="33"/>
        <item x="11"/>
        <item x="44"/>
        <item x="26"/>
        <item x="9"/>
        <item x="4"/>
        <item x="46"/>
        <item x="49"/>
        <item x="5"/>
        <item x="10"/>
        <item x="34"/>
        <item x="35"/>
        <item x="22"/>
        <item t="default"/>
      </items>
    </pivotField>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showAll="0"/>
  </pivotFields>
  <rowFields count="1">
    <field x="1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DC3E52-639C-45F1-8363-E6DE1A7FF933}"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A103" firstHeaderRow="1" firstDataRow="1" firstDataCol="1"/>
  <pivotFields count="27">
    <pivotField axis="axisRow" showAll="0">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showAll="0"/>
  </pivotFields>
  <rowFields count="1">
    <field x="0"/>
  </rowFields>
  <rowItems count="1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8BDA18-543B-4793-A293-F5E6EF31C4B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F28:G37" firstHeaderRow="1" firstDataRow="1" firstDataCol="1"/>
  <pivotFields count="27">
    <pivotField showAll="0">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axis="axisRow" showAll="0" sortType="descending">
      <items count="9">
        <item x="5"/>
        <item x="7"/>
        <item x="1"/>
        <item x="3"/>
        <item x="4"/>
        <item x="2"/>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items count="366">
        <item x="16"/>
        <item x="200"/>
        <item x="57"/>
        <item x="244"/>
        <item x="287"/>
        <item x="246"/>
        <item x="283"/>
        <item x="120"/>
        <item x="342"/>
        <item x="147"/>
        <item x="276"/>
        <item x="133"/>
        <item x="28"/>
        <item x="134"/>
        <item x="215"/>
        <item x="12"/>
        <item x="178"/>
        <item x="59"/>
        <item x="109"/>
        <item x="101"/>
        <item x="289"/>
        <item x="281"/>
        <item x="159"/>
        <item x="221"/>
        <item x="343"/>
        <item x="224"/>
        <item x="43"/>
        <item x="100"/>
        <item x="107"/>
        <item x="231"/>
        <item x="212"/>
        <item x="271"/>
        <item x="361"/>
        <item x="310"/>
        <item x="168"/>
        <item x="31"/>
        <item x="8"/>
        <item x="73"/>
        <item x="144"/>
        <item x="228"/>
        <item x="154"/>
        <item x="174"/>
        <item x="46"/>
        <item x="232"/>
        <item x="280"/>
        <item x="166"/>
        <item x="243"/>
        <item x="26"/>
        <item x="167"/>
        <item x="354"/>
        <item x="176"/>
        <item x="83"/>
        <item x="15"/>
        <item x="219"/>
        <item x="270"/>
        <item x="345"/>
        <item x="142"/>
        <item x="227"/>
        <item x="302"/>
        <item x="230"/>
        <item x="118"/>
        <item x="162"/>
        <item x="165"/>
        <item x="346"/>
        <item x="236"/>
        <item x="187"/>
        <item x="108"/>
        <item x="255"/>
        <item x="125"/>
        <item x="196"/>
        <item x="182"/>
        <item x="96"/>
        <item x="299"/>
        <item x="191"/>
        <item x="88"/>
        <item x="151"/>
        <item x="263"/>
        <item x="22"/>
        <item x="356"/>
        <item x="138"/>
        <item x="105"/>
        <item x="71"/>
        <item x="25"/>
        <item x="249"/>
        <item x="50"/>
        <item x="24"/>
        <item x="251"/>
        <item x="265"/>
        <item x="54"/>
        <item x="42"/>
        <item x="106"/>
        <item x="235"/>
        <item x="189"/>
        <item x="94"/>
        <item x="332"/>
        <item x="34"/>
        <item x="303"/>
        <item x="334"/>
        <item x="329"/>
        <item x="360"/>
        <item x="89"/>
        <item x="27"/>
        <item x="112"/>
        <item x="274"/>
        <item x="211"/>
        <item x="275"/>
        <item x="37"/>
        <item x="23"/>
        <item x="257"/>
        <item x="130"/>
        <item x="136"/>
        <item x="225"/>
        <item x="92"/>
        <item x="358"/>
        <item x="239"/>
        <item x="148"/>
        <item x="169"/>
        <item x="250"/>
        <item x="55"/>
        <item x="321"/>
        <item x="188"/>
        <item x="29"/>
        <item x="285"/>
        <item x="122"/>
        <item x="82"/>
        <item x="53"/>
        <item x="206"/>
        <item x="293"/>
        <item x="170"/>
        <item x="36"/>
        <item x="295"/>
        <item x="35"/>
        <item x="292"/>
        <item x="123"/>
        <item x="135"/>
        <item x="80"/>
        <item x="171"/>
        <item x="194"/>
        <item x="352"/>
        <item x="296"/>
        <item x="13"/>
        <item x="325"/>
        <item x="294"/>
        <item x="183"/>
        <item x="241"/>
        <item x="190"/>
        <item x="104"/>
        <item x="66"/>
        <item x="238"/>
        <item x="119"/>
        <item x="9"/>
        <item x="126"/>
        <item x="177"/>
        <item x="262"/>
        <item x="355"/>
        <item x="140"/>
        <item x="307"/>
        <item x="300"/>
        <item x="268"/>
        <item x="85"/>
        <item x="331"/>
        <item x="51"/>
        <item x="45"/>
        <item x="155"/>
        <item x="175"/>
        <item x="91"/>
        <item x="65"/>
        <item x="240"/>
        <item x="311"/>
        <item x="137"/>
        <item x="124"/>
        <item x="222"/>
        <item x="317"/>
        <item x="111"/>
        <item x="44"/>
        <item x="179"/>
        <item x="305"/>
        <item x="2"/>
        <item x="161"/>
        <item x="306"/>
        <item x="62"/>
        <item x="193"/>
        <item x="180"/>
        <item x="314"/>
        <item x="218"/>
        <item x="21"/>
        <item x="351"/>
        <item x="350"/>
        <item x="70"/>
        <item x="357"/>
        <item x="0"/>
        <item x="316"/>
        <item x="301"/>
        <item x="348"/>
        <item x="49"/>
        <item x="217"/>
        <item x="322"/>
        <item x="353"/>
        <item x="14"/>
        <item x="1"/>
        <item x="335"/>
        <item x="340"/>
        <item x="363"/>
        <item x="205"/>
        <item x="259"/>
        <item x="203"/>
        <item x="272"/>
        <item x="260"/>
        <item x="30"/>
        <item x="195"/>
        <item x="4"/>
        <item x="192"/>
        <item x="210"/>
        <item x="320"/>
        <item x="103"/>
        <item x="328"/>
        <item x="319"/>
        <item x="248"/>
        <item x="297"/>
        <item x="102"/>
        <item x="33"/>
        <item x="186"/>
        <item x="347"/>
        <item x="233"/>
        <item x="198"/>
        <item x="256"/>
        <item x="284"/>
        <item x="223"/>
        <item x="267"/>
        <item x="3"/>
        <item x="99"/>
        <item x="220"/>
        <item x="338"/>
        <item x="98"/>
        <item x="58"/>
        <item x="75"/>
        <item x="291"/>
        <item x="315"/>
        <item x="114"/>
        <item x="64"/>
        <item x="201"/>
        <item x="213"/>
        <item x="164"/>
        <item x="160"/>
        <item x="7"/>
        <item x="298"/>
        <item x="199"/>
        <item x="313"/>
        <item x="364"/>
        <item x="286"/>
        <item x="277"/>
        <item x="308"/>
        <item x="158"/>
        <item x="253"/>
        <item x="173"/>
        <item x="141"/>
        <item x="95"/>
        <item x="288"/>
        <item x="87"/>
        <item x="362"/>
        <item x="69"/>
        <item x="273"/>
        <item x="11"/>
        <item x="110"/>
        <item x="254"/>
        <item x="63"/>
        <item x="86"/>
        <item x="79"/>
        <item x="156"/>
        <item x="209"/>
        <item x="149"/>
        <item x="245"/>
        <item x="312"/>
        <item x="20"/>
        <item x="226"/>
        <item x="172"/>
        <item x="77"/>
        <item x="234"/>
        <item x="349"/>
        <item x="145"/>
        <item x="97"/>
        <item x="204"/>
        <item x="146"/>
        <item x="330"/>
        <item x="127"/>
        <item x="337"/>
        <item x="185"/>
        <item x="17"/>
        <item x="5"/>
        <item x="48"/>
        <item x="214"/>
        <item x="32"/>
        <item x="181"/>
        <item x="150"/>
        <item x="279"/>
        <item x="84"/>
        <item x="19"/>
        <item x="40"/>
        <item x="153"/>
        <item x="237"/>
        <item x="68"/>
        <item x="41"/>
        <item x="341"/>
        <item x="258"/>
        <item x="39"/>
        <item x="129"/>
        <item x="184"/>
        <item x="157"/>
        <item x="132"/>
        <item x="139"/>
        <item x="67"/>
        <item x="327"/>
        <item x="10"/>
        <item x="116"/>
        <item x="359"/>
        <item x="152"/>
        <item x="81"/>
        <item x="344"/>
        <item x="115"/>
        <item x="52"/>
        <item x="278"/>
        <item x="202"/>
        <item x="128"/>
        <item x="143"/>
        <item x="197"/>
        <item x="47"/>
        <item x="290"/>
        <item x="261"/>
        <item x="78"/>
        <item x="264"/>
        <item x="333"/>
        <item x="61"/>
        <item x="336"/>
        <item x="93"/>
        <item x="252"/>
        <item x="339"/>
        <item x="309"/>
        <item x="72"/>
        <item x="163"/>
        <item x="324"/>
        <item x="56"/>
        <item x="38"/>
        <item x="304"/>
        <item x="208"/>
        <item x="323"/>
        <item x="6"/>
        <item x="121"/>
        <item x="18"/>
        <item x="269"/>
        <item x="113"/>
        <item x="207"/>
        <item x="242"/>
        <item x="216"/>
        <item x="90"/>
        <item x="76"/>
        <item x="229"/>
        <item x="131"/>
        <item x="282"/>
        <item x="60"/>
        <item x="318"/>
        <item x="266"/>
        <item x="74"/>
        <item x="247"/>
        <item x="117"/>
        <item x="326"/>
        <item t="default"/>
      </items>
    </pivotField>
    <pivotField showAll="0"/>
    <pivotField showAll="0"/>
    <pivotField showAll="0"/>
    <pivotField showAll="0"/>
    <pivotField showAll="0">
      <items count="6">
        <item x="2"/>
        <item x="4"/>
        <item x="1"/>
        <item x="3"/>
        <item x="0"/>
        <item t="default"/>
      </items>
    </pivotField>
    <pivotField showAll="0"/>
    <pivotField showAll="0"/>
    <pivotField showAll="0">
      <items count="4">
        <item x="0"/>
        <item x="2"/>
        <item x="1"/>
        <item t="default"/>
      </items>
    </pivotField>
    <pivotField showAll="0"/>
    <pivotField numFmtId="164" showAll="0"/>
    <pivotField showAll="0"/>
    <pivotField showAll="0"/>
    <pivotField showAll="0"/>
    <pivotField showAll="0"/>
    <pivotField showAll="0"/>
    <pivotField dataField="1" showAll="0"/>
  </pivotFields>
  <rowFields count="1">
    <field x="6"/>
  </rowFields>
  <rowItems count="9">
    <i>
      <x v="2"/>
    </i>
    <i>
      <x v="7"/>
    </i>
    <i>
      <x v="3"/>
    </i>
    <i>
      <x v="1"/>
    </i>
    <i>
      <x v="6"/>
    </i>
    <i>
      <x v="5"/>
    </i>
    <i>
      <x/>
    </i>
    <i>
      <x v="4"/>
    </i>
    <i t="grand">
      <x/>
    </i>
  </rowItems>
  <colItems count="1">
    <i/>
  </colItems>
  <dataFields count="1">
    <dataField name="Sum of Final_Amount" fld="26" baseField="0" baseItem="0"/>
  </dataFields>
  <chartFormats count="2">
    <chartFormat chart="5" format="0" series="1">
      <pivotArea type="data" outline="0" fieldPosition="0">
        <references count="1">
          <reference field="4294967294" count="1" selected="0">
            <x v="0"/>
          </reference>
        </references>
      </pivotArea>
    </chartFormat>
    <chartFormat chart="21"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0553756-5878-486B-9C90-05D0D8FA4C5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D4" firstHeaderRow="1" firstDataRow="1" firstDataCol="1"/>
  <pivotFields count="27">
    <pivotField showAll="0" measureFilter="1">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showAll="0"/>
    <pivotField showAll="0"/>
    <pivotField showAll="0"/>
    <pivotField showAll="0"/>
    <pivotField numFmtId="164" showAll="0"/>
    <pivotField showAll="0"/>
    <pivotField axis="axisRow" showAll="0" measureFilter="1" sortType="descending">
      <items count="51">
        <item x="30"/>
        <item x="48"/>
        <item x="14"/>
        <item x="27"/>
        <item x="40"/>
        <item x="38"/>
        <item x="8"/>
        <item x="15"/>
        <item x="32"/>
        <item x="29"/>
        <item x="47"/>
        <item x="16"/>
        <item x="42"/>
        <item x="12"/>
        <item x="1"/>
        <item x="37"/>
        <item x="36"/>
        <item x="20"/>
        <item x="31"/>
        <item x="28"/>
        <item x="23"/>
        <item x="0"/>
        <item x="2"/>
        <item x="13"/>
        <item x="39"/>
        <item x="19"/>
        <item x="24"/>
        <item x="17"/>
        <item x="45"/>
        <item x="18"/>
        <item x="3"/>
        <item x="43"/>
        <item x="7"/>
        <item x="6"/>
        <item x="41"/>
        <item x="21"/>
        <item x="25"/>
        <item x="33"/>
        <item x="11"/>
        <item x="44"/>
        <item x="26"/>
        <item x="9"/>
        <item x="4"/>
        <item x="46"/>
        <item x="49"/>
        <item x="5"/>
        <item x="10"/>
        <item x="34"/>
        <item x="35"/>
        <item x="22"/>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dataField="1" showAll="0"/>
  </pivotFields>
  <rowFields count="1">
    <field x="12"/>
  </rowFields>
  <rowItems count="2">
    <i>
      <x v="26"/>
    </i>
    <i t="grand">
      <x/>
    </i>
  </rowItems>
  <colItems count="1">
    <i/>
  </colItems>
  <dataFields count="1">
    <dataField name="Sum of Final_Amount" fld="26" baseField="0" baseItem="0"/>
  </dataFields>
  <pivotTableStyleInfo name="PivotStyleLight16" showRowHeaders="1" showColHeaders="1" showRowStripes="0" showColStripes="0" showLastColumn="1"/>
  <filters count="2">
    <filter fld="0" type="count" evalOrder="-1" id="1" iMeasureFld="0">
      <autoFilter ref="A1">
        <filterColumn colId="0">
          <top10 val="1" filterVal="1"/>
        </filterColumn>
      </autoFilter>
    </filter>
    <filter fld="1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EA4E8D6-8399-4015-BAC1-A998180EB4B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G4" firstHeaderRow="1" firstDataRow="1" firstDataCol="1"/>
  <pivotFields count="27">
    <pivotField dataField="1" showAll="0">
      <items count="102">
        <item x="48"/>
        <item x="8"/>
        <item x="83"/>
        <item x="51"/>
        <item x="79"/>
        <item x="9"/>
        <item x="96"/>
        <item x="65"/>
        <item x="25"/>
        <item x="75"/>
        <item x="93"/>
        <item x="42"/>
        <item x="69"/>
        <item x="82"/>
        <item x="92"/>
        <item x="2"/>
        <item x="38"/>
        <item x="84"/>
        <item x="58"/>
        <item x="74"/>
        <item x="28"/>
        <item x="30"/>
        <item x="87"/>
        <item x="60"/>
        <item x="70"/>
        <item x="56"/>
        <item x="41"/>
        <item x="76"/>
        <item x="16"/>
        <item x="43"/>
        <item x="7"/>
        <item x="88"/>
        <item x="33"/>
        <item x="31"/>
        <item x="45"/>
        <item x="39"/>
        <item x="46"/>
        <item x="14"/>
        <item x="80"/>
        <item x="57"/>
        <item x="59"/>
        <item x="86"/>
        <item x="81"/>
        <item x="62"/>
        <item x="55"/>
        <item x="54"/>
        <item x="98"/>
        <item x="15"/>
        <item x="13"/>
        <item x="3"/>
        <item x="1"/>
        <item x="91"/>
        <item x="6"/>
        <item x="47"/>
        <item x="85"/>
        <item x="29"/>
        <item x="63"/>
        <item x="89"/>
        <item x="21"/>
        <item x="4"/>
        <item x="71"/>
        <item x="26"/>
        <item x="78"/>
        <item x="19"/>
        <item x="90"/>
        <item x="40"/>
        <item x="23"/>
        <item x="99"/>
        <item x="17"/>
        <item x="32"/>
        <item x="64"/>
        <item x="72"/>
        <item x="10"/>
        <item x="73"/>
        <item x="53"/>
        <item x="50"/>
        <item x="12"/>
        <item x="95"/>
        <item x="11"/>
        <item x="18"/>
        <item x="34"/>
        <item x="37"/>
        <item x="20"/>
        <item x="61"/>
        <item x="35"/>
        <item x="66"/>
        <item x="0"/>
        <item x="36"/>
        <item x="68"/>
        <item x="77"/>
        <item x="27"/>
        <item x="24"/>
        <item x="52"/>
        <item x="22"/>
        <item x="67"/>
        <item x="49"/>
        <item x="94"/>
        <item x="97"/>
        <item x="5"/>
        <item x="44"/>
        <item f="1" x="100"/>
        <item t="default"/>
      </items>
    </pivotField>
    <pivotField showAll="0"/>
    <pivotField showAll="0"/>
    <pivotField showAll="0"/>
    <pivotField showAll="0"/>
    <pivotField showAll="0"/>
    <pivotField showAll="0"/>
    <pivotField showAll="0"/>
    <pivotField showAll="0"/>
    <pivotField showAll="0"/>
    <pivotField numFmtId="164" showAll="0"/>
    <pivotField showAll="0"/>
    <pivotField axis="axisRow" showAll="0" measureFilter="1" sortType="descending">
      <items count="51">
        <item x="30"/>
        <item x="48"/>
        <item x="14"/>
        <item x="27"/>
        <item x="40"/>
        <item x="38"/>
        <item x="8"/>
        <item x="15"/>
        <item x="32"/>
        <item x="29"/>
        <item x="47"/>
        <item x="16"/>
        <item x="42"/>
        <item x="12"/>
        <item x="1"/>
        <item x="37"/>
        <item x="36"/>
        <item x="20"/>
        <item x="31"/>
        <item x="28"/>
        <item x="23"/>
        <item x="0"/>
        <item x="2"/>
        <item x="13"/>
        <item x="39"/>
        <item x="19"/>
        <item x="24"/>
        <item x="17"/>
        <item x="45"/>
        <item x="18"/>
        <item x="3"/>
        <item x="43"/>
        <item x="7"/>
        <item x="6"/>
        <item x="41"/>
        <item x="21"/>
        <item x="25"/>
        <item x="33"/>
        <item x="11"/>
        <item x="44"/>
        <item x="26"/>
        <item x="9"/>
        <item x="4"/>
        <item x="46"/>
        <item x="49"/>
        <item x="5"/>
        <item x="10"/>
        <item x="34"/>
        <item x="35"/>
        <item x="22"/>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2"/>
        <item x="4"/>
        <item x="1"/>
        <item x="3"/>
        <item x="0"/>
        <item t="default"/>
      </items>
    </pivotField>
    <pivotField showAll="0"/>
    <pivotField showAll="0"/>
    <pivotField showAll="0"/>
    <pivotField showAll="0"/>
    <pivotField numFmtId="164" showAll="0"/>
    <pivotField showAll="0"/>
    <pivotField showAll="0"/>
    <pivotField showAll="0"/>
    <pivotField showAll="0"/>
    <pivotField showAll="0"/>
    <pivotField showAll="0"/>
  </pivotFields>
  <rowFields count="1">
    <field x="12"/>
  </rowFields>
  <rowItems count="2">
    <i>
      <x v="35"/>
    </i>
    <i t="grand">
      <x/>
    </i>
  </rowItems>
  <colItems count="1">
    <i/>
  </colItems>
  <dataFields count="1">
    <dataField name="Count of Customer_ID" fld="0" subtotal="count" baseField="0" baseItem="0"/>
  </dataFields>
  <pivotTableStyleInfo name="PivotStyleLight16" showRowHeaders="1" showColHeaders="1" showRowStripes="0" showColStripes="0" showLastColumn="1"/>
  <filters count="1">
    <filter fld="12"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3F343B9-EB97-4ED3-802F-A438DD3BA756}" sourceName="City">
  <pivotTables>
    <pivotTable tabId="7" name="PivotTable8"/>
    <pivotTable tabId="7" name="PivotTable2"/>
    <pivotTable tabId="7" name="PivotTable5"/>
  </pivotTables>
  <data>
    <tabular pivotCacheId="152097006">
      <items count="8">
        <i x="5" s="1"/>
        <i x="7" s="1"/>
        <i x="1" s="1"/>
        <i x="3" s="1"/>
        <i x="4" s="1"/>
        <i x="2" s="1"/>
        <i x="0"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47C130B9-64E4-4F9A-BD76-120746D8BABD}" sourceName="[Range].[Order_Date (Month)]">
  <pivotTables>
    <pivotTable tabId="7" name="PivotTable13"/>
    <pivotTable tabId="7" name="PivotTable14"/>
  </pivotTables>
  <data>
    <olap pivotCacheId="1649815894">
      <levels count="2">
        <level uniqueName="[Range].[Order_Date (Month)].[(All)]" sourceCaption="(All)" count="0"/>
        <level uniqueName="[Range].[Order_Date (Month)].[Order_Date (Month)]" sourceCaption="Order_Date (Month)" count="12">
          <ranges>
            <range startItem="0">
              <i n="[Range].[Order_Date (Month)].&amp;[Jan]" c="Jan"/>
              <i n="[Range].[Order_Date (Month)].&amp;[Feb]" c="Feb"/>
              <i n="[Range].[Order_Date (Month)].&amp;[Mar]" c="Mar"/>
              <i n="[Range].[Order_Date (Month)].&amp;[Apr]" c="Apr"/>
              <i n="[Range].[Order_Date (Month)].&amp;[May]" c="May"/>
              <i n="[Range].[Order_Date (Month)].&amp;[Jun]" c="Jun"/>
              <i n="[Range].[Order_Date (Month)].&amp;[Jul]" c="Jul"/>
              <i n="[Range].[Order_Date (Month)].&amp;[Aug]" c="Aug"/>
              <i n="[Range].[Order_Date (Month)].&amp;[Sep]" c="Sep"/>
              <i n="[Range].[Order_Date (Month)].&amp;[Oct]" c="Oct"/>
              <i n="[Range].[Order_Date (Month)].&amp;[Nov]" c="Nov"/>
              <i n="[Range].[Order_Date (Month)].&amp;[Dec]" c="Dec"/>
            </range>
          </ranges>
        </level>
      </levels>
      <selections count="1">
        <selection n="[Range].[Order_Date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pon_Code" xr10:uid="{5C141876-1F07-4A51-8CB8-B00ECA74B448}" sourceName="Coupon_Code">
  <pivotTables>
    <pivotTable tabId="7" name="PivotTable8"/>
    <pivotTable tabId="7" name="PivotTable2"/>
    <pivotTable tabId="7" name="PivotTable5"/>
  </pivotTables>
  <data>
    <tabular pivotCacheId="152097006">
      <items count="5">
        <i x="2" s="1"/>
        <i x="4"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LateDelivery" xr10:uid="{53318587-0242-4579-8A80-2C6D2787F6B9}" sourceName=" IsLateDelivery">
  <pivotTables>
    <pivotTable tabId="7" name="PivotTable5"/>
  </pivotTables>
  <data>
    <tabular pivotCacheId="15209700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6573DF5E-CC84-4870-8B4A-612DFAD8B850}" cache="Slicer_City" caption="City" rowHeight="234950"/>
  <slicer name="Order_Date (Month)" xr10:uid="{2D6DB313-E0AC-4752-8AF8-3D949D645E78}" cache="Slicer_Order_Date__Month" caption="Order_Date (Month)" level="1" rowHeight="234950"/>
  <slicer name="Coupon_Code" xr10:uid="{2FBB13BA-CC5A-41A3-8A78-B094BAA89169}" cache="Slicer_Coupon_Code" caption="Coupon_Code" rowHeight="234950"/>
  <slicer name=" IsLateDelivery" xr10:uid="{4AF03CC6-F81B-434F-83BD-61F1BF45A889}" cache="Slicer_IsLateDelivery" caption=" IsLateDelive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CECDE2-854F-4123-AEA1-DA85CF4F8A1B}" name="Table1" displayName="Table1" ref="A1:AA501" totalsRowShown="0" headerRowDxfId="29" dataDxfId="28" tableBorderDxfId="27">
  <autoFilter ref="A1:AA501" xr:uid="{65CECDE2-854F-4123-AEA1-DA85CF4F8A1B}"/>
  <tableColumns count="27">
    <tableColumn id="1" xr3:uid="{80E70743-9509-42D9-AE3C-60C6E4A78053}" name="Customer_ID" dataDxfId="26"/>
    <tableColumn id="2" xr3:uid="{10B04802-8440-400F-B903-6FFF1C3D7080}" name="Full_Name" dataDxfId="25">
      <calculatedColumnFormula>_xlfn.CONCAT(Augmented_Data!$C2," ",Augmented_Data!$D2)</calculatedColumnFormula>
    </tableColumn>
    <tableColumn id="3" xr3:uid="{94AB46FC-7A5B-4382-9990-DBA901CF1ACA}" name="First_Name" dataDxfId="24"/>
    <tableColumn id="4" xr3:uid="{7A696260-75BD-450E-BD3E-BB026F13AD7E}" name="Last_Name" dataDxfId="23"/>
    <tableColumn id="5" xr3:uid="{5758C2AA-B908-4BD1-8B51-89810535AC45}" name="Age" dataDxfId="22"/>
    <tableColumn id="6" xr3:uid="{D5BB4359-5A7B-4F7E-A37F-63AD8D604BA0}" name="Gender" dataDxfId="21"/>
    <tableColumn id="7" xr3:uid="{C27DEB44-4C3B-43C2-8DCA-1A28F948B258}" name="City" dataDxfId="20"/>
    <tableColumn id="8" xr3:uid="{32736FD2-C26F-4F0C-BEAB-CE3221071A9D}" name="Email" dataDxfId="19"/>
    <tableColumn id="9" xr3:uid="{C9BF6878-0581-4934-AE07-F8CAD49F1C80}" name="Address" dataDxfId="18"/>
    <tableColumn id="10" xr3:uid="{AF6D35EA-2542-4FCA-A643-B83B236F542C}" name="Order_ID" dataDxfId="17"/>
    <tableColumn id="11" xr3:uid="{7786BA68-AC52-4FFC-B900-E815FE37FB57}" name="Order_Date" dataDxfId="16"/>
    <tableColumn id="12" xr3:uid="{AFF80A82-E3FC-4471-9E01-D735026B6A93}" name="Order_Time" dataDxfId="15"/>
    <tableColumn id="13" xr3:uid="{DA89C0DD-94BD-49B1-B441-11EB5D4FC167}" name="Product_ID" dataDxfId="14"/>
    <tableColumn id="14" xr3:uid="{E52C05AD-8CC0-4113-814F-485F67AF352F}" name="Price" dataDxfId="13"/>
    <tableColumn id="15" xr3:uid="{2587CA91-222C-4EA2-980F-33CA6A9AEFA1}" name="Quantity" dataDxfId="12"/>
    <tableColumn id="16" xr3:uid="{617C28A4-47C5-43B9-ABB6-002B652624E2}" name="Coupon_Code" dataDxfId="11"/>
    <tableColumn id="17" xr3:uid="{FC15E01B-C947-4EAF-AE3A-8555BCCC3C06}" name="Discount_Percent" dataDxfId="10">
      <calculatedColumnFormula>_xlfn.IFS(Augmented_Data!$P2="FLAT8","8%",Augmented_Data!$P2="FLAT10","10%",Augmented_Data!$P2="FLAT15","15%",Augmented_Data!$P2="FLAT20","20%",Augmented_Data!$P2="DEL0","0 delivery charge")</calculatedColumnFormula>
    </tableColumn>
    <tableColumn id="18" xr3:uid="{E30BF98A-27C1-4781-8814-1E45CB8878C1}" name="Estimated_Days_to_Deliver" dataDxfId="9"/>
    <tableColumn id="19" xr3:uid="{82EEBB53-9CDD-43DD-98E4-56985A6FAE0B}" name=" IsLateDelivery" dataDxfId="8">
      <calculatedColumnFormula>_xlfn.IFS(Augmented_Data!U2-Augmented_Data!K2=Augmented_Data!$R2,"Intime",Augmented_Data!U2-Augmented_Data!K2&lt;Augmented_Data!R2,"Before Time",Augmented_Data!U2-Augmented_Data!K2&gt;Augmented_Data!R2,"Late")</calculatedColumnFormula>
    </tableColumn>
    <tableColumn id="20" xr3:uid="{7214DB8F-D812-4064-BF7E-D44BF84A7FD2}" name="Delivery_Charge" dataDxfId="7"/>
    <tableColumn id="21" xr3:uid="{B48D0DA1-9691-41E5-8FA0-41E2DC2855F3}" name="Delivery_Date" dataDxfId="6"/>
    <tableColumn id="22" xr3:uid="{0D0ABCBE-C7E2-4B22-9D0F-26C243EA48D8}" name="Days_of_Delivery" dataDxfId="5">
      <calculatedColumnFormula>DATEDIF(Augmented_Data!$K2,Augmented_Data!$U2,"D")</calculatedColumnFormula>
    </tableColumn>
    <tableColumn id="23" xr3:uid="{F4F5A96D-6DB7-4AC1-91B4-3280566669B7}" name="Delivery_Time" dataDxfId="4"/>
    <tableColumn id="24" xr3:uid="{F3E8A0A4-8F8B-4EE4-810C-124B32FD49E6}" name="Discount_Amount" dataDxfId="3">
      <calculatedColumnFormula>Augmented_Data!$Z2-Augmented_Data!$AA2</calculatedColumnFormula>
    </tableColumn>
    <tableColumn id="25" xr3:uid="{C635B2D7-0544-478F-A901-3869A7222880}" name="Amount" dataDxfId="2">
      <calculatedColumnFormula>Augmented_Data!$N2*Augmented_Data!$O2</calculatedColumnFormula>
    </tableColumn>
    <tableColumn id="26" xr3:uid="{0D6F10AA-97C8-4B3B-83EE-237B73892387}" name="Amount_with_Del_Chrg " dataDxfId="1">
      <calculatedColumnFormula>Augmented_Data!$Y2+Augmented_Data!$T2</calculatedColumnFormula>
    </tableColumn>
    <tableColumn id="27" xr3:uid="{F6AE13CA-39B5-4C88-9DC4-5FD5891A9515}" name="Final_Amount" dataDxfId="0">
      <calculatedColumnFormula>IF(Augmented_Data!Q2="0 delivery charge",Augmented_Data!Z2-Augmented_Data!T2,Augmented_Data!Z2*(1-Augmented_Data!Q2))</calculatedColumnFormula>
    </tableColumn>
  </tableColumns>
  <tableStyleInfo name="TableStyleLight1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233B-44FE-462A-92F2-F1C06770E3C7}">
  <dimension ref="A1:AA501"/>
  <sheetViews>
    <sheetView topLeftCell="W1" workbookViewId="0">
      <selection activeCell="I24" sqref="I24"/>
    </sheetView>
  </sheetViews>
  <sheetFormatPr defaultRowHeight="14.4" x14ac:dyDescent="0.3"/>
  <cols>
    <col min="1" max="1" width="13.77734375" customWidth="1"/>
    <col min="2" max="2" width="16.6640625" bestFit="1" customWidth="1"/>
    <col min="3" max="3" width="14.88671875" bestFit="1" customWidth="1"/>
    <col min="4" max="4" width="14.77734375" bestFit="1" customWidth="1"/>
    <col min="5" max="5" width="8.6640625" bestFit="1" customWidth="1"/>
    <col min="6" max="6" width="11.5546875" bestFit="1" customWidth="1"/>
    <col min="7" max="7" width="12" bestFit="1" customWidth="1"/>
    <col min="8" max="8" width="28.88671875" bestFit="1" customWidth="1"/>
    <col min="9" max="9" width="49.5546875" bestFit="1" customWidth="1"/>
    <col min="10" max="10" width="13" bestFit="1" customWidth="1"/>
    <col min="11" max="11" width="15.109375" bestFit="1" customWidth="1"/>
    <col min="12" max="12" width="15.33203125" bestFit="1" customWidth="1"/>
    <col min="13" max="13" width="14.88671875" bestFit="1" customWidth="1"/>
    <col min="14" max="14" width="9.5546875" bestFit="1" customWidth="1"/>
    <col min="15" max="15" width="12.77734375" bestFit="1" customWidth="1"/>
    <col min="16" max="16" width="17.5546875" bestFit="1" customWidth="1"/>
    <col min="17" max="17" width="20.33203125" bestFit="1" customWidth="1"/>
    <col min="18" max="18" width="25.77734375" customWidth="1"/>
    <col min="19" max="19" width="15" customWidth="1"/>
    <col min="20" max="20" width="16.5546875" customWidth="1"/>
    <col min="21" max="21" width="14.5546875" customWidth="1"/>
    <col min="22" max="22" width="17.44140625" customWidth="1"/>
    <col min="23" max="23" width="14.77734375" customWidth="1"/>
    <col min="24" max="24" width="16" customWidth="1"/>
    <col min="25" max="25" width="12" customWidth="1"/>
    <col min="26" max="26" width="26.33203125" bestFit="1" customWidth="1"/>
    <col min="27" max="27" width="17.21875" bestFit="1" customWidth="1"/>
  </cols>
  <sheetData>
    <row r="1" spans="1:27" x14ac:dyDescent="0.3">
      <c r="A1" s="17" t="s">
        <v>0</v>
      </c>
      <c r="B1" s="17" t="s">
        <v>2068</v>
      </c>
      <c r="C1" s="17" t="s">
        <v>1</v>
      </c>
      <c r="D1" s="17" t="s">
        <v>2</v>
      </c>
      <c r="E1" s="17" t="s">
        <v>3</v>
      </c>
      <c r="F1" s="17" t="s">
        <v>4</v>
      </c>
      <c r="G1" s="17" t="s">
        <v>5</v>
      </c>
      <c r="H1" s="17" t="s">
        <v>6</v>
      </c>
      <c r="I1" s="17" t="s">
        <v>7</v>
      </c>
      <c r="J1" s="17" t="s">
        <v>8</v>
      </c>
      <c r="K1" s="17" t="s">
        <v>9</v>
      </c>
      <c r="L1" s="17" t="s">
        <v>10</v>
      </c>
      <c r="M1" s="17" t="s">
        <v>11</v>
      </c>
      <c r="N1" s="17" t="s">
        <v>12</v>
      </c>
      <c r="O1" s="17" t="s">
        <v>13</v>
      </c>
      <c r="P1" s="17" t="s">
        <v>14</v>
      </c>
      <c r="Q1" s="17" t="s">
        <v>2066</v>
      </c>
      <c r="R1" s="17" t="s">
        <v>2048</v>
      </c>
      <c r="S1" s="17" t="s">
        <v>2069</v>
      </c>
      <c r="T1" s="17" t="s">
        <v>15</v>
      </c>
      <c r="U1" s="17" t="s">
        <v>16</v>
      </c>
      <c r="V1" s="17" t="s">
        <v>2058</v>
      </c>
      <c r="W1" s="17" t="s">
        <v>17</v>
      </c>
      <c r="X1" s="17" t="s">
        <v>2073</v>
      </c>
      <c r="Y1" s="17" t="s">
        <v>2057</v>
      </c>
      <c r="Z1" s="17" t="s">
        <v>2065</v>
      </c>
      <c r="AA1" s="18" t="s">
        <v>2067</v>
      </c>
    </row>
    <row r="2" spans="1:27" x14ac:dyDescent="0.3">
      <c r="A2" s="8" t="s">
        <v>18</v>
      </c>
      <c r="B2" s="8" t="str">
        <f>_xlfn.CONCAT(Augmented_Data!$C2," ",Augmented_Data!$D2)</f>
        <v>Anne Oconnell</v>
      </c>
      <c r="C2" s="8" t="s">
        <v>118</v>
      </c>
      <c r="D2" s="8" t="s">
        <v>201</v>
      </c>
      <c r="E2" s="8">
        <v>37</v>
      </c>
      <c r="F2" s="8" t="s">
        <v>288</v>
      </c>
      <c r="G2" s="8" t="s">
        <v>291</v>
      </c>
      <c r="H2" s="8" t="s">
        <v>299</v>
      </c>
      <c r="I2" s="8" t="s">
        <v>399</v>
      </c>
      <c r="J2" s="8" t="s">
        <v>499</v>
      </c>
      <c r="K2" s="9">
        <v>45358</v>
      </c>
      <c r="L2" s="8" t="s">
        <v>999</v>
      </c>
      <c r="M2" s="8" t="s">
        <v>1497</v>
      </c>
      <c r="N2" s="8">
        <v>308.88</v>
      </c>
      <c r="O2" s="8">
        <v>5</v>
      </c>
      <c r="P2" s="8" t="s">
        <v>2047</v>
      </c>
      <c r="Q2" s="8" t="str">
        <f>_xlfn.IFS(Augmented_Data!$P2="FLAT8","8%",Augmented_Data!$P2="FLAT10","10%",Augmented_Data!$P2="FLAT15","15%",Augmented_Data!$P2="FLAT20","20%",Augmented_Data!$P2="DEL0","0 delivery charge")</f>
        <v>8%</v>
      </c>
      <c r="R2" s="8">
        <v>4</v>
      </c>
      <c r="S2" s="8" t="str">
        <f>_xlfn.IFS(Augmented_Data!U2-Augmented_Data!K2=Augmented_Data!$R2,"Intime",Augmented_Data!U2-Augmented_Data!K2&lt;Augmented_Data!R2,"Before Time",Augmented_Data!U2-Augmented_Data!K2&gt;Augmented_Data!R2,"Late")</f>
        <v>Before Time</v>
      </c>
      <c r="T2" s="8">
        <v>60</v>
      </c>
      <c r="U2" s="9">
        <v>45361</v>
      </c>
      <c r="V2" s="8">
        <f>DATEDIF(Augmented_Data!$K2,Augmented_Data!$U2,"D")</f>
        <v>3</v>
      </c>
      <c r="W2" s="8" t="s">
        <v>1551</v>
      </c>
      <c r="X2" s="8">
        <f>Augmented_Data!$Z2-Augmented_Data!$AA2</f>
        <v>128.35199999999986</v>
      </c>
      <c r="Y2" s="8">
        <f>Augmented_Data!$N2*Augmented_Data!$O2</f>
        <v>1544.4</v>
      </c>
      <c r="Z2" s="8">
        <f>Augmented_Data!$Y2+Augmented_Data!$T2</f>
        <v>1604.4</v>
      </c>
      <c r="AA2" s="10">
        <f>IF(Augmented_Data!Q2="0 delivery charge",Augmented_Data!Z2-Augmented_Data!T2,Augmented_Data!Z2*(1-Augmented_Data!Q2))</f>
        <v>1476.0480000000002</v>
      </c>
    </row>
    <row r="3" spans="1:27" x14ac:dyDescent="0.3">
      <c r="A3" s="11" t="s">
        <v>19</v>
      </c>
      <c r="B3" s="11" t="str">
        <f>_xlfn.CONCAT(Augmented_Data!$C3," ",Augmented_Data!$D3)</f>
        <v>Anthony Thomas</v>
      </c>
      <c r="C3" s="11" t="s">
        <v>119</v>
      </c>
      <c r="D3" s="11" t="s">
        <v>154</v>
      </c>
      <c r="E3" s="11">
        <v>53</v>
      </c>
      <c r="F3" s="11" t="s">
        <v>289</v>
      </c>
      <c r="G3" s="11" t="s">
        <v>292</v>
      </c>
      <c r="H3" s="11" t="s">
        <v>300</v>
      </c>
      <c r="I3" s="11" t="s">
        <v>400</v>
      </c>
      <c r="J3" s="11" t="s">
        <v>500</v>
      </c>
      <c r="K3" s="12">
        <v>45378</v>
      </c>
      <c r="L3" s="11" t="s">
        <v>1000</v>
      </c>
      <c r="M3" s="11" t="s">
        <v>1498</v>
      </c>
      <c r="N3" s="11">
        <v>166.28</v>
      </c>
      <c r="O3" s="11">
        <v>4</v>
      </c>
      <c r="P3" s="11" t="s">
        <v>2047</v>
      </c>
      <c r="Q3" s="11" t="str">
        <f>_xlfn.IFS(Augmented_Data!$P3="FLAT8","8%",Augmented_Data!$P3="FLAT10","10%",Augmented_Data!$P3="FLAT15","15%",Augmented_Data!$P3="FLAT20","20%",Augmented_Data!$P3="DEL0","0 delivery charge")</f>
        <v>8%</v>
      </c>
      <c r="R3" s="11">
        <v>7</v>
      </c>
      <c r="S3" s="11" t="str">
        <f>_xlfn.IFS(Augmented_Data!U3-Augmented_Data!K3=Augmented_Data!$R3,"Intime",Augmented_Data!U3-Augmented_Data!K3&lt;Augmented_Data!R3,"Before Time",Augmented_Data!U3-Augmented_Data!K3&gt;Augmented_Data!R3,"Late")</f>
        <v>Before Time</v>
      </c>
      <c r="T3" s="11">
        <v>66</v>
      </c>
      <c r="U3" s="12">
        <v>45381</v>
      </c>
      <c r="V3" s="11">
        <f>DATEDIF(Augmented_Data!$K3,Augmented_Data!$U3,"D")</f>
        <v>3</v>
      </c>
      <c r="W3" s="11" t="s">
        <v>1552</v>
      </c>
      <c r="X3" s="11">
        <f>Augmented_Data!$Z3-Augmented_Data!$AA3</f>
        <v>58.489599999999996</v>
      </c>
      <c r="Y3" s="11">
        <f>Augmented_Data!$N3*Augmented_Data!$O3</f>
        <v>665.12</v>
      </c>
      <c r="Z3" s="11">
        <f>Augmented_Data!$Y3+Augmented_Data!$T3</f>
        <v>731.12</v>
      </c>
      <c r="AA3" s="13">
        <f>IF(Augmented_Data!Q3="0 delivery charge",Augmented_Data!Z3-Augmented_Data!T3,Augmented_Data!Z3*(1-Augmented_Data!Q3))</f>
        <v>672.63040000000001</v>
      </c>
    </row>
    <row r="4" spans="1:27" x14ac:dyDescent="0.3">
      <c r="A4" s="14" t="s">
        <v>24</v>
      </c>
      <c r="B4" s="14" t="str">
        <f>_xlfn.CONCAT(Augmented_Data!$C4," ",Augmented_Data!$D4)</f>
        <v>Karl Gallagher</v>
      </c>
      <c r="C4" s="14" t="s">
        <v>124</v>
      </c>
      <c r="D4" s="14" t="s">
        <v>206</v>
      </c>
      <c r="E4" s="14">
        <v>60</v>
      </c>
      <c r="F4" s="14" t="s">
        <v>290</v>
      </c>
      <c r="G4" s="14" t="s">
        <v>291</v>
      </c>
      <c r="H4" s="14" t="s">
        <v>305</v>
      </c>
      <c r="I4" s="14" t="s">
        <v>405</v>
      </c>
      <c r="J4" s="14" t="s">
        <v>505</v>
      </c>
      <c r="K4" s="15">
        <v>45342</v>
      </c>
      <c r="L4" s="14" t="s">
        <v>1005</v>
      </c>
      <c r="M4" s="14" t="s">
        <v>1502</v>
      </c>
      <c r="N4" s="14">
        <v>202.54</v>
      </c>
      <c r="O4" s="14">
        <v>1</v>
      </c>
      <c r="P4" s="14" t="s">
        <v>1548</v>
      </c>
      <c r="Q4" s="14" t="str">
        <f>_xlfn.IFS(Augmented_Data!$P4="FLAT8","8%",Augmented_Data!$P4="FLAT10","10%",Augmented_Data!$P4="FLAT15","15%",Augmented_Data!$P4="FLAT20","20%",Augmented_Data!$P4="DEL0","0 delivery charge")</f>
        <v>15%</v>
      </c>
      <c r="R4" s="14">
        <v>3</v>
      </c>
      <c r="S4" s="14" t="str">
        <f>_xlfn.IFS(Augmented_Data!U4-Augmented_Data!K4=Augmented_Data!$R4,"Intime",Augmented_Data!U4-Augmented_Data!K4&lt;Augmented_Data!R4,"Before Time",Augmented_Data!U4-Augmented_Data!K4&gt;Augmented_Data!R4,"Late")</f>
        <v>Before Time</v>
      </c>
      <c r="T4" s="14">
        <v>47</v>
      </c>
      <c r="U4" s="15">
        <v>45344</v>
      </c>
      <c r="V4" s="14">
        <f>DATEDIF(Augmented_Data!$K4,Augmented_Data!$U4,"D")</f>
        <v>2</v>
      </c>
      <c r="W4" s="14" t="s">
        <v>1557</v>
      </c>
      <c r="X4" s="14">
        <f>Augmented_Data!$Z4-Augmented_Data!$AA4</f>
        <v>37.431000000000012</v>
      </c>
      <c r="Y4" s="14">
        <f>Augmented_Data!$N4*Augmented_Data!$O4</f>
        <v>202.54</v>
      </c>
      <c r="Z4" s="14">
        <f>Augmented_Data!$Y4+Augmented_Data!$T4</f>
        <v>249.54</v>
      </c>
      <c r="AA4" s="16">
        <f>IF(Augmented_Data!Q4="0 delivery charge",Augmented_Data!Z4-Augmented_Data!T4,Augmented_Data!Z4*(1-Augmented_Data!Q4))</f>
        <v>212.10899999999998</v>
      </c>
    </row>
    <row r="5" spans="1:27" x14ac:dyDescent="0.3">
      <c r="A5" s="11" t="s">
        <v>24</v>
      </c>
      <c r="B5" s="11" t="str">
        <f>_xlfn.CONCAT(Augmented_Data!$C5," ",Augmented_Data!$D5)</f>
        <v>Karl Gallagher</v>
      </c>
      <c r="C5" s="11" t="s">
        <v>124</v>
      </c>
      <c r="D5" s="11" t="s">
        <v>206</v>
      </c>
      <c r="E5" s="11">
        <v>60</v>
      </c>
      <c r="F5" s="11" t="s">
        <v>290</v>
      </c>
      <c r="G5" s="11" t="s">
        <v>291</v>
      </c>
      <c r="H5" s="11" t="s">
        <v>305</v>
      </c>
      <c r="I5" s="11" t="s">
        <v>405</v>
      </c>
      <c r="J5" s="11" t="s">
        <v>582</v>
      </c>
      <c r="K5" s="12">
        <v>45426</v>
      </c>
      <c r="L5" s="11" t="s">
        <v>1082</v>
      </c>
      <c r="M5" s="11" t="s">
        <v>1526</v>
      </c>
      <c r="N5" s="11">
        <v>405</v>
      </c>
      <c r="O5" s="11">
        <v>5</v>
      </c>
      <c r="P5" s="11" t="s">
        <v>1547</v>
      </c>
      <c r="Q5" s="11" t="str">
        <f>_xlfn.IFS(Augmented_Data!$P5="FLAT8","8%",Augmented_Data!$P5="FLAT10","10%",Augmented_Data!$P5="FLAT15","15%",Augmented_Data!$P5="FLAT20","20%",Augmented_Data!$P5="DEL0","0 delivery charge")</f>
        <v>0 delivery charge</v>
      </c>
      <c r="R5" s="11">
        <v>6</v>
      </c>
      <c r="S5" s="11" t="str">
        <f>_xlfn.IFS(Augmented_Data!U5-Augmented_Data!K5=Augmented_Data!$R5,"Intime",Augmented_Data!U5-Augmented_Data!K5&lt;Augmented_Data!R5,"Before Time",Augmented_Data!U5-Augmented_Data!K5&gt;Augmented_Data!R5,"Late")</f>
        <v>Before Time</v>
      </c>
      <c r="T5" s="11">
        <v>47</v>
      </c>
      <c r="U5" s="12">
        <v>45430</v>
      </c>
      <c r="V5" s="11">
        <f>DATEDIF(Augmented_Data!$K5,Augmented_Data!$U5,"D")</f>
        <v>4</v>
      </c>
      <c r="W5" s="11" t="s">
        <v>1634</v>
      </c>
      <c r="X5" s="11">
        <f>Augmented_Data!$Z5-Augmented_Data!$AA5</f>
        <v>47</v>
      </c>
      <c r="Y5" s="11">
        <f>Augmented_Data!$N5*Augmented_Data!$O5</f>
        <v>2025</v>
      </c>
      <c r="Z5" s="11">
        <f>Augmented_Data!$Y5+Augmented_Data!$T5</f>
        <v>2072</v>
      </c>
      <c r="AA5" s="13">
        <f>IF(Augmented_Data!Q5="0 delivery charge",Augmented_Data!Z5-Augmented_Data!T5,Augmented_Data!Z5*(1-Augmented_Data!Q5))</f>
        <v>2025</v>
      </c>
    </row>
    <row r="6" spans="1:27" x14ac:dyDescent="0.3">
      <c r="A6" s="14" t="s">
        <v>22</v>
      </c>
      <c r="B6" s="14" t="str">
        <f>_xlfn.CONCAT(Augmented_Data!$C6," ",Augmented_Data!$D6)</f>
        <v>Angela Horne</v>
      </c>
      <c r="C6" s="14" t="s">
        <v>122</v>
      </c>
      <c r="D6" s="14" t="s">
        <v>204</v>
      </c>
      <c r="E6" s="14">
        <v>49</v>
      </c>
      <c r="F6" s="14" t="s">
        <v>290</v>
      </c>
      <c r="G6" s="14" t="s">
        <v>291</v>
      </c>
      <c r="H6" s="14" t="s">
        <v>303</v>
      </c>
      <c r="I6" s="14" t="s">
        <v>403</v>
      </c>
      <c r="J6" s="14" t="s">
        <v>503</v>
      </c>
      <c r="K6" s="15">
        <v>45391</v>
      </c>
      <c r="L6" s="14" t="s">
        <v>1003</v>
      </c>
      <c r="M6" s="14" t="s">
        <v>1498</v>
      </c>
      <c r="N6" s="14">
        <v>166.28</v>
      </c>
      <c r="O6" s="14">
        <v>1</v>
      </c>
      <c r="P6" s="14" t="s">
        <v>2047</v>
      </c>
      <c r="Q6" s="14" t="str">
        <f>_xlfn.IFS(Augmented_Data!$P6="FLAT8","8%",Augmented_Data!$P6="FLAT10","10%",Augmented_Data!$P6="FLAT15","15%",Augmented_Data!$P6="FLAT20","20%",Augmented_Data!$P6="DEL0","0 delivery charge")</f>
        <v>8%</v>
      </c>
      <c r="R6" s="14">
        <v>2</v>
      </c>
      <c r="S6" s="14" t="str">
        <f>_xlfn.IFS(Augmented_Data!U6-Augmented_Data!K6=Augmented_Data!$R6,"Intime",Augmented_Data!U6-Augmented_Data!K6&lt;Augmented_Data!R6,"Before Time",Augmented_Data!U6-Augmented_Data!K6&gt;Augmented_Data!R6,"Late")</f>
        <v>Late</v>
      </c>
      <c r="T6" s="14">
        <v>54</v>
      </c>
      <c r="U6" s="15">
        <v>45395</v>
      </c>
      <c r="V6" s="14">
        <f>DATEDIF(Augmented_Data!$K6,Augmented_Data!$U6,"D")</f>
        <v>4</v>
      </c>
      <c r="W6" s="14" t="s">
        <v>1555</v>
      </c>
      <c r="X6" s="14">
        <f>Augmented_Data!$Z6-Augmented_Data!$AA6</f>
        <v>17.622399999999999</v>
      </c>
      <c r="Y6" s="14">
        <f>Augmented_Data!$N6*Augmented_Data!$O6</f>
        <v>166.28</v>
      </c>
      <c r="Z6" s="14">
        <f>Augmented_Data!$Y6+Augmented_Data!$T6</f>
        <v>220.28</v>
      </c>
      <c r="AA6" s="16">
        <f>IF(Augmented_Data!Q6="0 delivery charge",Augmented_Data!Z6-Augmented_Data!T6,Augmented_Data!Z6*(1-Augmented_Data!Q6))</f>
        <v>202.6576</v>
      </c>
    </row>
    <row r="7" spans="1:27" x14ac:dyDescent="0.3">
      <c r="A7" s="11" t="s">
        <v>23</v>
      </c>
      <c r="B7" s="11" t="str">
        <f>_xlfn.CONCAT(Augmented_Data!$C7," ",Augmented_Data!$D7)</f>
        <v>Christine West</v>
      </c>
      <c r="C7" s="11" t="s">
        <v>123</v>
      </c>
      <c r="D7" s="11" t="s">
        <v>205</v>
      </c>
      <c r="E7" s="11">
        <v>53</v>
      </c>
      <c r="F7" s="11" t="s">
        <v>290</v>
      </c>
      <c r="G7" s="11" t="s">
        <v>295</v>
      </c>
      <c r="H7" s="11" t="s">
        <v>304</v>
      </c>
      <c r="I7" s="11" t="s">
        <v>404</v>
      </c>
      <c r="J7" s="11" t="s">
        <v>504</v>
      </c>
      <c r="K7" s="12">
        <v>45543</v>
      </c>
      <c r="L7" s="11" t="s">
        <v>1004</v>
      </c>
      <c r="M7" s="11" t="s">
        <v>1501</v>
      </c>
      <c r="N7" s="11">
        <v>330.11</v>
      </c>
      <c r="O7" s="11">
        <v>4</v>
      </c>
      <c r="P7" s="11" t="s">
        <v>1548</v>
      </c>
      <c r="Q7" s="11" t="str">
        <f>_xlfn.IFS(Augmented_Data!$P7="FLAT8","8%",Augmented_Data!$P7="FLAT10","10%",Augmented_Data!$P7="FLAT15","15%",Augmented_Data!$P7="FLAT20","20%",Augmented_Data!$P7="DEL0","0 delivery charge")</f>
        <v>15%</v>
      </c>
      <c r="R7" s="11">
        <v>6</v>
      </c>
      <c r="S7" s="11" t="str">
        <f>_xlfn.IFS(Augmented_Data!U7-Augmented_Data!K7=Augmented_Data!$R7,"Intime",Augmented_Data!U7-Augmented_Data!K7&lt;Augmented_Data!R7,"Before Time",Augmented_Data!U7-Augmented_Data!K7&gt;Augmented_Data!R7,"Late")</f>
        <v>Before Time</v>
      </c>
      <c r="T7" s="11">
        <v>39</v>
      </c>
      <c r="U7" s="12">
        <v>45547</v>
      </c>
      <c r="V7" s="11">
        <f>DATEDIF(Augmented_Data!$K7,Augmented_Data!$U7,"D")</f>
        <v>4</v>
      </c>
      <c r="W7" s="11" t="s">
        <v>1556</v>
      </c>
      <c r="X7" s="11">
        <f>Augmented_Data!$Z7-Augmented_Data!$AA7</f>
        <v>203.91599999999994</v>
      </c>
      <c r="Y7" s="11">
        <f>Augmented_Data!$N7*Augmented_Data!$O7</f>
        <v>1320.44</v>
      </c>
      <c r="Z7" s="11">
        <f>Augmented_Data!$Y7+Augmented_Data!$T7</f>
        <v>1359.44</v>
      </c>
      <c r="AA7" s="13">
        <f>IF(Augmented_Data!Q7="0 delivery charge",Augmented_Data!Z7-Augmented_Data!T7,Augmented_Data!Z7*(1-Augmented_Data!Q7))</f>
        <v>1155.5240000000001</v>
      </c>
    </row>
    <row r="8" spans="1:27" x14ac:dyDescent="0.3">
      <c r="A8" s="14" t="s">
        <v>24</v>
      </c>
      <c r="B8" s="14" t="str">
        <f>_xlfn.CONCAT(Augmented_Data!$C8," ",Augmented_Data!$D8)</f>
        <v>Karl Gallagher</v>
      </c>
      <c r="C8" s="14" t="s">
        <v>124</v>
      </c>
      <c r="D8" s="14" t="s">
        <v>206</v>
      </c>
      <c r="E8" s="14">
        <v>60</v>
      </c>
      <c r="F8" s="14" t="s">
        <v>290</v>
      </c>
      <c r="G8" s="14" t="s">
        <v>291</v>
      </c>
      <c r="H8" s="14" t="s">
        <v>305</v>
      </c>
      <c r="I8" s="14" t="s">
        <v>405</v>
      </c>
      <c r="J8" s="14" t="s">
        <v>824</v>
      </c>
      <c r="K8" s="15">
        <v>45662</v>
      </c>
      <c r="L8" s="14" t="s">
        <v>1324</v>
      </c>
      <c r="M8" s="14" t="s">
        <v>1497</v>
      </c>
      <c r="N8" s="14">
        <v>308.88</v>
      </c>
      <c r="O8" s="14">
        <v>5</v>
      </c>
      <c r="P8" s="14" t="s">
        <v>1550</v>
      </c>
      <c r="Q8" s="14" t="str">
        <f>_xlfn.IFS(Augmented_Data!$P8="FLAT8","8%",Augmented_Data!$P8="FLAT10","10%",Augmented_Data!$P8="FLAT15","15%",Augmented_Data!$P8="FLAT20","20%",Augmented_Data!$P8="DEL0","0 delivery charge")</f>
        <v>20%</v>
      </c>
      <c r="R8" s="14">
        <v>5</v>
      </c>
      <c r="S8" s="14" t="str">
        <f>_xlfn.IFS(Augmented_Data!U8-Augmented_Data!K8=Augmented_Data!$R8,"Intime",Augmented_Data!U8-Augmented_Data!K8&lt;Augmented_Data!R8,"Before Time",Augmented_Data!U8-Augmented_Data!K8&gt;Augmented_Data!R8,"Late")</f>
        <v>Before Time</v>
      </c>
      <c r="T8" s="14">
        <v>47</v>
      </c>
      <c r="U8" s="15">
        <v>45665</v>
      </c>
      <c r="V8" s="14">
        <f>DATEDIF(Augmented_Data!$K8,Augmented_Data!$U8,"D")</f>
        <v>3</v>
      </c>
      <c r="W8" s="14" t="s">
        <v>1875</v>
      </c>
      <c r="X8" s="14">
        <f>Augmented_Data!$Z8-Augmented_Data!$AA8</f>
        <v>318.27999999999997</v>
      </c>
      <c r="Y8" s="14">
        <f>Augmented_Data!$N8*Augmented_Data!$O8</f>
        <v>1544.4</v>
      </c>
      <c r="Z8" s="14">
        <f>Augmented_Data!$Y8+Augmented_Data!$T8</f>
        <v>1591.4</v>
      </c>
      <c r="AA8" s="16">
        <f>IF(Augmented_Data!Q8="0 delivery charge",Augmented_Data!Z8-Augmented_Data!T8,Augmented_Data!Z8*(1-Augmented_Data!Q8))</f>
        <v>1273.1200000000001</v>
      </c>
    </row>
    <row r="9" spans="1:27" x14ac:dyDescent="0.3">
      <c r="A9" s="11" t="s">
        <v>25</v>
      </c>
      <c r="B9" s="11" t="str">
        <f>_xlfn.CONCAT(Augmented_Data!$C9," ",Augmented_Data!$D9)</f>
        <v>David Delacruz</v>
      </c>
      <c r="C9" s="11" t="s">
        <v>125</v>
      </c>
      <c r="D9" s="11" t="s">
        <v>207</v>
      </c>
      <c r="E9" s="11">
        <v>26</v>
      </c>
      <c r="F9" s="11" t="s">
        <v>289</v>
      </c>
      <c r="G9" s="11" t="s">
        <v>296</v>
      </c>
      <c r="H9" s="11" t="s">
        <v>306</v>
      </c>
      <c r="I9" s="11" t="s">
        <v>406</v>
      </c>
      <c r="J9" s="11" t="s">
        <v>506</v>
      </c>
      <c r="K9" s="12">
        <v>45459</v>
      </c>
      <c r="L9" s="11" t="s">
        <v>1006</v>
      </c>
      <c r="M9" s="11" t="s">
        <v>1503</v>
      </c>
      <c r="N9" s="11">
        <v>363.64</v>
      </c>
      <c r="O9" s="11">
        <v>3</v>
      </c>
      <c r="P9" s="11" t="s">
        <v>1549</v>
      </c>
      <c r="Q9" s="11" t="str">
        <f>_xlfn.IFS(Augmented_Data!$P9="FLAT8","8%",Augmented_Data!$P9="FLAT10","10%",Augmented_Data!$P9="FLAT15","15%",Augmented_Data!$P9="FLAT20","20%",Augmented_Data!$P9="DEL0","0 delivery charge")</f>
        <v>10%</v>
      </c>
      <c r="R9" s="11">
        <v>2</v>
      </c>
      <c r="S9" s="11" t="str">
        <f>_xlfn.IFS(Augmented_Data!U9-Augmented_Data!K9=Augmented_Data!$R9,"Intime",Augmented_Data!U9-Augmented_Data!K9&lt;Augmented_Data!R9,"Before Time",Augmented_Data!U9-Augmented_Data!K9&gt;Augmented_Data!R9,"Late")</f>
        <v>Late</v>
      </c>
      <c r="T9" s="11">
        <v>70</v>
      </c>
      <c r="U9" s="12">
        <v>45464</v>
      </c>
      <c r="V9" s="11">
        <f>DATEDIF(Augmented_Data!$K9,Augmented_Data!$U9,"D")</f>
        <v>5</v>
      </c>
      <c r="W9" s="11" t="s">
        <v>1558</v>
      </c>
      <c r="X9" s="11">
        <f>Augmented_Data!$Z9-Augmented_Data!$AA9</f>
        <v>116.09199999999987</v>
      </c>
      <c r="Y9" s="11">
        <f>Augmented_Data!$N9*Augmented_Data!$O9</f>
        <v>1090.92</v>
      </c>
      <c r="Z9" s="11">
        <f>Augmented_Data!$Y9+Augmented_Data!$T9</f>
        <v>1160.92</v>
      </c>
      <c r="AA9" s="13">
        <f>IF(Augmented_Data!Q9="0 delivery charge",Augmented_Data!Z9-Augmented_Data!T9,Augmented_Data!Z9*(1-Augmented_Data!Q9))</f>
        <v>1044.8280000000002</v>
      </c>
    </row>
    <row r="10" spans="1:27" x14ac:dyDescent="0.3">
      <c r="A10" s="14" t="s">
        <v>26</v>
      </c>
      <c r="B10" s="14" t="str">
        <f>_xlfn.CONCAT(Augmented_Data!$C10," ",Augmented_Data!$D10)</f>
        <v>Marcus Valenzuela</v>
      </c>
      <c r="C10" s="14" t="s">
        <v>126</v>
      </c>
      <c r="D10" s="14" t="s">
        <v>208</v>
      </c>
      <c r="E10" s="14">
        <v>39</v>
      </c>
      <c r="F10" s="14" t="s">
        <v>288</v>
      </c>
      <c r="G10" s="14" t="s">
        <v>291</v>
      </c>
      <c r="H10" s="14" t="s">
        <v>307</v>
      </c>
      <c r="I10" s="14" t="s">
        <v>407</v>
      </c>
      <c r="J10" s="14" t="s">
        <v>507</v>
      </c>
      <c r="K10" s="15">
        <v>45040</v>
      </c>
      <c r="L10" s="14" t="s">
        <v>1007</v>
      </c>
      <c r="M10" s="14" t="s">
        <v>1504</v>
      </c>
      <c r="N10" s="14">
        <v>275.44</v>
      </c>
      <c r="O10" s="14">
        <v>1</v>
      </c>
      <c r="P10" s="14" t="s">
        <v>2047</v>
      </c>
      <c r="Q10" s="14" t="str">
        <f>_xlfn.IFS(Augmented_Data!$P10="FLAT8","8%",Augmented_Data!$P10="FLAT10","10%",Augmented_Data!$P10="FLAT15","15%",Augmented_Data!$P10="FLAT20","20%",Augmented_Data!$P10="DEL0","0 delivery charge")</f>
        <v>8%</v>
      </c>
      <c r="R10" s="14">
        <v>7</v>
      </c>
      <c r="S10" s="14" t="str">
        <f>_xlfn.IFS(Augmented_Data!U10-Augmented_Data!K10=Augmented_Data!$R10,"Intime",Augmented_Data!U10-Augmented_Data!K10&lt;Augmented_Data!R10,"Before Time",Augmented_Data!U10-Augmented_Data!K10&gt;Augmented_Data!R10,"Late")</f>
        <v>Before Time</v>
      </c>
      <c r="T10" s="14">
        <v>63</v>
      </c>
      <c r="U10" s="15">
        <v>45042</v>
      </c>
      <c r="V10" s="14">
        <f>DATEDIF(Augmented_Data!$K10,Augmented_Data!$U10,"D")</f>
        <v>2</v>
      </c>
      <c r="W10" s="14" t="s">
        <v>1559</v>
      </c>
      <c r="X10" s="14">
        <f>Augmented_Data!$Z10-Augmented_Data!$AA10</f>
        <v>27.075199999999995</v>
      </c>
      <c r="Y10" s="14">
        <f>Augmented_Data!$N10*Augmented_Data!$O10</f>
        <v>275.44</v>
      </c>
      <c r="Z10" s="14">
        <f>Augmented_Data!$Y10+Augmented_Data!$T10</f>
        <v>338.44</v>
      </c>
      <c r="AA10" s="16">
        <f>IF(Augmented_Data!Q10="0 delivery charge",Augmented_Data!Z10-Augmented_Data!T10,Augmented_Data!Z10*(1-Augmented_Data!Q10))</f>
        <v>311.3648</v>
      </c>
    </row>
    <row r="11" spans="1:27" x14ac:dyDescent="0.3">
      <c r="A11" s="11" t="s">
        <v>27</v>
      </c>
      <c r="B11" s="11" t="str">
        <f>_xlfn.CONCAT(Augmented_Data!$C11," ",Augmented_Data!$D11)</f>
        <v>Debra Rodriguez</v>
      </c>
      <c r="C11" s="11" t="s">
        <v>127</v>
      </c>
      <c r="D11" s="11" t="s">
        <v>209</v>
      </c>
      <c r="E11" s="11">
        <v>48</v>
      </c>
      <c r="F11" s="11" t="s">
        <v>290</v>
      </c>
      <c r="G11" s="11" t="s">
        <v>292</v>
      </c>
      <c r="H11" s="11" t="s">
        <v>308</v>
      </c>
      <c r="I11" s="11" t="s">
        <v>408</v>
      </c>
      <c r="J11" s="11" t="s">
        <v>508</v>
      </c>
      <c r="K11" s="12">
        <v>45282</v>
      </c>
      <c r="L11" s="11" t="s">
        <v>1008</v>
      </c>
      <c r="M11" s="11" t="s">
        <v>1505</v>
      </c>
      <c r="N11" s="11">
        <v>48.45</v>
      </c>
      <c r="O11" s="11">
        <v>1</v>
      </c>
      <c r="P11" s="11" t="s">
        <v>1548</v>
      </c>
      <c r="Q11" s="11" t="str">
        <f>_xlfn.IFS(Augmented_Data!$P11="FLAT8","8%",Augmented_Data!$P11="FLAT10","10%",Augmented_Data!$P11="FLAT15","15%",Augmented_Data!$P11="FLAT20","20%",Augmented_Data!$P11="DEL0","0 delivery charge")</f>
        <v>15%</v>
      </c>
      <c r="R11" s="11">
        <v>7</v>
      </c>
      <c r="S11" s="11" t="str">
        <f>_xlfn.IFS(Augmented_Data!U11-Augmented_Data!K11=Augmented_Data!$R11,"Intime",Augmented_Data!U11-Augmented_Data!K11&lt;Augmented_Data!R11,"Before Time",Augmented_Data!U11-Augmented_Data!K11&gt;Augmented_Data!R11,"Late")</f>
        <v>Before Time</v>
      </c>
      <c r="T11" s="11">
        <v>59</v>
      </c>
      <c r="U11" s="12">
        <v>45287</v>
      </c>
      <c r="V11" s="11">
        <f>DATEDIF(Augmented_Data!$K11,Augmented_Data!$U11,"D")</f>
        <v>5</v>
      </c>
      <c r="W11" s="11" t="s">
        <v>1560</v>
      </c>
      <c r="X11" s="11">
        <f>Augmented_Data!$Z11-Augmented_Data!$AA11</f>
        <v>16.117500000000007</v>
      </c>
      <c r="Y11" s="11">
        <f>Augmented_Data!$N11*Augmented_Data!$O11</f>
        <v>48.45</v>
      </c>
      <c r="Z11" s="11">
        <f>Augmented_Data!$Y11+Augmented_Data!$T11</f>
        <v>107.45</v>
      </c>
      <c r="AA11" s="13">
        <f>IF(Augmented_Data!Q11="0 delivery charge",Augmented_Data!Z11-Augmented_Data!T11,Augmented_Data!Z11*(1-Augmented_Data!Q11))</f>
        <v>91.332499999999996</v>
      </c>
    </row>
    <row r="12" spans="1:27" x14ac:dyDescent="0.3">
      <c r="A12" s="14" t="s">
        <v>24</v>
      </c>
      <c r="B12" s="14" t="str">
        <f>_xlfn.CONCAT(Augmented_Data!$C12," ",Augmented_Data!$D12)</f>
        <v>Karl Gallagher</v>
      </c>
      <c r="C12" s="14" t="s">
        <v>124</v>
      </c>
      <c r="D12" s="14" t="s">
        <v>206</v>
      </c>
      <c r="E12" s="14">
        <v>60</v>
      </c>
      <c r="F12" s="14" t="s">
        <v>290</v>
      </c>
      <c r="G12" s="14" t="s">
        <v>291</v>
      </c>
      <c r="H12" s="14" t="s">
        <v>305</v>
      </c>
      <c r="I12" s="14" t="s">
        <v>405</v>
      </c>
      <c r="J12" s="14" t="s">
        <v>827</v>
      </c>
      <c r="K12" s="15">
        <v>45588</v>
      </c>
      <c r="L12" s="14" t="s">
        <v>1327</v>
      </c>
      <c r="M12" s="14" t="s">
        <v>1503</v>
      </c>
      <c r="N12" s="14">
        <v>363.64</v>
      </c>
      <c r="O12" s="14">
        <v>4</v>
      </c>
      <c r="P12" s="14" t="s">
        <v>1547</v>
      </c>
      <c r="Q12" s="14" t="str">
        <f>_xlfn.IFS(Augmented_Data!$P12="FLAT8","8%",Augmented_Data!$P12="FLAT10","10%",Augmented_Data!$P12="FLAT15","15%",Augmented_Data!$P12="FLAT20","20%",Augmented_Data!$P12="DEL0","0 delivery charge")</f>
        <v>0 delivery charge</v>
      </c>
      <c r="R12" s="14">
        <v>2</v>
      </c>
      <c r="S12" s="14" t="str">
        <f>_xlfn.IFS(Augmented_Data!U12-Augmented_Data!K12=Augmented_Data!$R12,"Intime",Augmented_Data!U12-Augmented_Data!K12&lt;Augmented_Data!R12,"Before Time",Augmented_Data!U12-Augmented_Data!K12&gt;Augmented_Data!R12,"Late")</f>
        <v>Intime</v>
      </c>
      <c r="T12" s="14">
        <v>35</v>
      </c>
      <c r="U12" s="15">
        <v>45590</v>
      </c>
      <c r="V12" s="14">
        <f>DATEDIF(Augmented_Data!$K12,Augmented_Data!$U12,"D")</f>
        <v>2</v>
      </c>
      <c r="W12" s="14" t="s">
        <v>1878</v>
      </c>
      <c r="X12" s="14">
        <f>Augmented_Data!$Z12-Augmented_Data!$AA12</f>
        <v>35</v>
      </c>
      <c r="Y12" s="14">
        <f>Augmented_Data!$N12*Augmented_Data!$O12</f>
        <v>1454.56</v>
      </c>
      <c r="Z12" s="14">
        <f>Augmented_Data!$Y12+Augmented_Data!$T12</f>
        <v>1489.56</v>
      </c>
      <c r="AA12" s="16">
        <f>IF(Augmented_Data!Q12="0 delivery charge",Augmented_Data!Z12-Augmented_Data!T12,Augmented_Data!Z12*(1-Augmented_Data!Q12))</f>
        <v>1454.56</v>
      </c>
    </row>
    <row r="13" spans="1:27" x14ac:dyDescent="0.3">
      <c r="A13" s="11" t="s">
        <v>28</v>
      </c>
      <c r="B13" s="11" t="str">
        <f>_xlfn.CONCAT(Augmented_Data!$C13," ",Augmented_Data!$D13)</f>
        <v>Bobby Forbes</v>
      </c>
      <c r="C13" s="11" t="s">
        <v>128</v>
      </c>
      <c r="D13" s="11" t="s">
        <v>210</v>
      </c>
      <c r="E13" s="11">
        <v>20</v>
      </c>
      <c r="F13" s="11" t="s">
        <v>288</v>
      </c>
      <c r="G13" s="11" t="s">
        <v>296</v>
      </c>
      <c r="H13" s="11" t="s">
        <v>309</v>
      </c>
      <c r="I13" s="11" t="s">
        <v>409</v>
      </c>
      <c r="J13" s="11" t="s">
        <v>510</v>
      </c>
      <c r="K13" s="12">
        <v>45498</v>
      </c>
      <c r="L13" s="11" t="s">
        <v>1010</v>
      </c>
      <c r="M13" s="11" t="s">
        <v>1507</v>
      </c>
      <c r="N13" s="11">
        <v>257.06</v>
      </c>
      <c r="O13" s="11">
        <v>3</v>
      </c>
      <c r="P13" s="11" t="s">
        <v>1547</v>
      </c>
      <c r="Q13" s="11" t="str">
        <f>_xlfn.IFS(Augmented_Data!$P13="FLAT8","8%",Augmented_Data!$P13="FLAT10","10%",Augmented_Data!$P13="FLAT15","15%",Augmented_Data!$P13="FLAT20","20%",Augmented_Data!$P13="DEL0","0 delivery charge")</f>
        <v>0 delivery charge</v>
      </c>
      <c r="R13" s="11">
        <v>7</v>
      </c>
      <c r="S13" s="11" t="str">
        <f>_xlfn.IFS(Augmented_Data!U13-Augmented_Data!K13=Augmented_Data!$R13,"Intime",Augmented_Data!U13-Augmented_Data!K13&lt;Augmented_Data!R13,"Before Time",Augmented_Data!U13-Augmented_Data!K13&gt;Augmented_Data!R13,"Late")</f>
        <v>Before Time</v>
      </c>
      <c r="T13" s="11">
        <v>62</v>
      </c>
      <c r="U13" s="12">
        <v>45499</v>
      </c>
      <c r="V13" s="11">
        <f>DATEDIF(Augmented_Data!$K13,Augmented_Data!$U13,"D")</f>
        <v>1</v>
      </c>
      <c r="W13" s="11" t="s">
        <v>1562</v>
      </c>
      <c r="X13" s="11">
        <f>Augmented_Data!$Z13-Augmented_Data!$AA13</f>
        <v>62</v>
      </c>
      <c r="Y13" s="11">
        <f>Augmented_Data!$N13*Augmented_Data!$O13</f>
        <v>771.18000000000006</v>
      </c>
      <c r="Z13" s="11">
        <f>Augmented_Data!$Y13+Augmented_Data!$T13</f>
        <v>833.18000000000006</v>
      </c>
      <c r="AA13" s="13">
        <f>IF(Augmented_Data!Q13="0 delivery charge",Augmented_Data!Z13-Augmented_Data!T13,Augmented_Data!Z13*(1-Augmented_Data!Q13))</f>
        <v>771.18000000000006</v>
      </c>
    </row>
    <row r="14" spans="1:27" x14ac:dyDescent="0.3">
      <c r="A14" s="14" t="s">
        <v>29</v>
      </c>
      <c r="B14" s="14" t="str">
        <f>_xlfn.CONCAT(Augmented_Data!$C14," ",Augmented_Data!$D14)</f>
        <v>Joseph Stewart</v>
      </c>
      <c r="C14" s="14" t="s">
        <v>129</v>
      </c>
      <c r="D14" s="14" t="s">
        <v>211</v>
      </c>
      <c r="E14" s="14">
        <v>30</v>
      </c>
      <c r="F14" s="14" t="s">
        <v>289</v>
      </c>
      <c r="G14" s="14" t="s">
        <v>292</v>
      </c>
      <c r="H14" s="14" t="s">
        <v>310</v>
      </c>
      <c r="I14" s="14" t="s">
        <v>410</v>
      </c>
      <c r="J14" s="14" t="s">
        <v>511</v>
      </c>
      <c r="K14" s="15">
        <v>44997</v>
      </c>
      <c r="L14" s="14" t="s">
        <v>1011</v>
      </c>
      <c r="M14" s="14" t="s">
        <v>1508</v>
      </c>
      <c r="N14" s="14">
        <v>175.93</v>
      </c>
      <c r="O14" s="14">
        <v>4</v>
      </c>
      <c r="P14" s="14" t="s">
        <v>2047</v>
      </c>
      <c r="Q14" s="14" t="str">
        <f>_xlfn.IFS(Augmented_Data!$P14="FLAT8","8%",Augmented_Data!$P14="FLAT10","10%",Augmented_Data!$P14="FLAT15","15%",Augmented_Data!$P14="FLAT20","20%",Augmented_Data!$P14="DEL0","0 delivery charge")</f>
        <v>8%</v>
      </c>
      <c r="R14" s="14">
        <v>3</v>
      </c>
      <c r="S14" s="14" t="str">
        <f>_xlfn.IFS(Augmented_Data!U14-Augmented_Data!K14=Augmented_Data!$R14,"Intime",Augmented_Data!U14-Augmented_Data!K14&lt;Augmented_Data!R14,"Before Time",Augmented_Data!U14-Augmented_Data!K14&gt;Augmented_Data!R14,"Late")</f>
        <v>Before Time</v>
      </c>
      <c r="T14" s="14">
        <v>65</v>
      </c>
      <c r="U14" s="15">
        <v>44999</v>
      </c>
      <c r="V14" s="14">
        <f>DATEDIF(Augmented_Data!$K14,Augmented_Data!$U14,"D")</f>
        <v>2</v>
      </c>
      <c r="W14" s="14" t="s">
        <v>1563</v>
      </c>
      <c r="X14" s="14">
        <f>Augmented_Data!$Z14-Augmented_Data!$AA14</f>
        <v>61.49759999999992</v>
      </c>
      <c r="Y14" s="14">
        <f>Augmented_Data!$N14*Augmented_Data!$O14</f>
        <v>703.72</v>
      </c>
      <c r="Z14" s="14">
        <f>Augmented_Data!$Y14+Augmented_Data!$T14</f>
        <v>768.72</v>
      </c>
      <c r="AA14" s="16">
        <f>IF(Augmented_Data!Q14="0 delivery charge",Augmented_Data!Z14-Augmented_Data!T14,Augmented_Data!Z14*(1-Augmented_Data!Q14))</f>
        <v>707.22240000000011</v>
      </c>
    </row>
    <row r="15" spans="1:27" x14ac:dyDescent="0.3">
      <c r="A15" s="11" t="s">
        <v>30</v>
      </c>
      <c r="B15" s="11" t="str">
        <f>_xlfn.CONCAT(Augmented_Data!$C15," ",Augmented_Data!$D15)</f>
        <v>Kara Brennan</v>
      </c>
      <c r="C15" s="11" t="s">
        <v>130</v>
      </c>
      <c r="D15" s="11" t="s">
        <v>212</v>
      </c>
      <c r="E15" s="11">
        <v>25</v>
      </c>
      <c r="F15" s="11" t="s">
        <v>290</v>
      </c>
      <c r="G15" s="11" t="s">
        <v>294</v>
      </c>
      <c r="H15" s="11" t="s">
        <v>311</v>
      </c>
      <c r="I15" s="11" t="s">
        <v>411</v>
      </c>
      <c r="J15" s="11" t="s">
        <v>512</v>
      </c>
      <c r="K15" s="12">
        <v>45267</v>
      </c>
      <c r="L15" s="11" t="s">
        <v>1012</v>
      </c>
      <c r="M15" s="11" t="s">
        <v>1509</v>
      </c>
      <c r="N15" s="11">
        <v>190.1</v>
      </c>
      <c r="O15" s="11">
        <v>1</v>
      </c>
      <c r="P15" s="11" t="s">
        <v>1547</v>
      </c>
      <c r="Q15" s="11" t="str">
        <f>_xlfn.IFS(Augmented_Data!$P15="FLAT8","8%",Augmented_Data!$P15="FLAT10","10%",Augmented_Data!$P15="FLAT15","15%",Augmented_Data!$P15="FLAT20","20%",Augmented_Data!$P15="DEL0","0 delivery charge")</f>
        <v>0 delivery charge</v>
      </c>
      <c r="R15" s="11">
        <v>1</v>
      </c>
      <c r="S15" s="11" t="str">
        <f>_xlfn.IFS(Augmented_Data!U15-Augmented_Data!K15=Augmented_Data!$R15,"Intime",Augmented_Data!U15-Augmented_Data!K15&lt;Augmented_Data!R15,"Before Time",Augmented_Data!U15-Augmented_Data!K15&gt;Augmented_Data!R15,"Late")</f>
        <v>Late</v>
      </c>
      <c r="T15" s="11">
        <v>70</v>
      </c>
      <c r="U15" s="12">
        <v>45270</v>
      </c>
      <c r="V15" s="11">
        <f>DATEDIF(Augmented_Data!$K15,Augmented_Data!$U15,"D")</f>
        <v>3</v>
      </c>
      <c r="W15" s="11" t="s">
        <v>1564</v>
      </c>
      <c r="X15" s="11">
        <f>Augmented_Data!$Z15-Augmented_Data!$AA15</f>
        <v>70</v>
      </c>
      <c r="Y15" s="11">
        <f>Augmented_Data!$N15*Augmented_Data!$O15</f>
        <v>190.1</v>
      </c>
      <c r="Z15" s="11">
        <f>Augmented_Data!$Y15+Augmented_Data!$T15</f>
        <v>260.10000000000002</v>
      </c>
      <c r="AA15" s="13">
        <f>IF(Augmented_Data!Q15="0 delivery charge",Augmented_Data!Z15-Augmented_Data!T15,Augmented_Data!Z15*(1-Augmented_Data!Q15))</f>
        <v>190.10000000000002</v>
      </c>
    </row>
    <row r="16" spans="1:27" x14ac:dyDescent="0.3">
      <c r="A16" s="14" t="s">
        <v>31</v>
      </c>
      <c r="B16" s="14" t="str">
        <f>_xlfn.CONCAT(Augmented_Data!$C16," ",Augmented_Data!$D16)</f>
        <v>Amy Reid</v>
      </c>
      <c r="C16" s="14" t="s">
        <v>131</v>
      </c>
      <c r="D16" s="14" t="s">
        <v>213</v>
      </c>
      <c r="E16" s="14">
        <v>44</v>
      </c>
      <c r="F16" s="14" t="s">
        <v>289</v>
      </c>
      <c r="G16" s="14" t="s">
        <v>296</v>
      </c>
      <c r="H16" s="14" t="s">
        <v>312</v>
      </c>
      <c r="I16" s="14" t="s">
        <v>412</v>
      </c>
      <c r="J16" s="14" t="s">
        <v>513</v>
      </c>
      <c r="K16" s="15">
        <v>45377</v>
      </c>
      <c r="L16" s="14" t="s">
        <v>1013</v>
      </c>
      <c r="M16" s="14" t="s">
        <v>1510</v>
      </c>
      <c r="N16" s="14">
        <v>220.27</v>
      </c>
      <c r="O16" s="14">
        <v>2</v>
      </c>
      <c r="P16" s="14" t="s">
        <v>1547</v>
      </c>
      <c r="Q16" s="14" t="str">
        <f>_xlfn.IFS(Augmented_Data!$P16="FLAT8","8%",Augmented_Data!$P16="FLAT10","10%",Augmented_Data!$P16="FLAT15","15%",Augmented_Data!$P16="FLAT20","20%",Augmented_Data!$P16="DEL0","0 delivery charge")</f>
        <v>0 delivery charge</v>
      </c>
      <c r="R16" s="14">
        <v>3</v>
      </c>
      <c r="S16" s="14" t="str">
        <f>_xlfn.IFS(Augmented_Data!U16-Augmented_Data!K16=Augmented_Data!$R16,"Intime",Augmented_Data!U16-Augmented_Data!K16&lt;Augmented_Data!R16,"Before Time",Augmented_Data!U16-Augmented_Data!K16&gt;Augmented_Data!R16,"Late")</f>
        <v>Late</v>
      </c>
      <c r="T16" s="14">
        <v>39</v>
      </c>
      <c r="U16" s="15">
        <v>45382</v>
      </c>
      <c r="V16" s="14">
        <f>DATEDIF(Augmented_Data!$K16,Augmented_Data!$U16,"D")</f>
        <v>5</v>
      </c>
      <c r="W16" s="14" t="s">
        <v>1565</v>
      </c>
      <c r="X16" s="14">
        <f>Augmented_Data!$Z16-Augmented_Data!$AA16</f>
        <v>39</v>
      </c>
      <c r="Y16" s="14">
        <f>Augmented_Data!$N16*Augmented_Data!$O16</f>
        <v>440.54</v>
      </c>
      <c r="Z16" s="14">
        <f>Augmented_Data!$Y16+Augmented_Data!$T16</f>
        <v>479.54</v>
      </c>
      <c r="AA16" s="16">
        <f>IF(Augmented_Data!Q16="0 delivery charge",Augmented_Data!Z16-Augmented_Data!T16,Augmented_Data!Z16*(1-Augmented_Data!Q16))</f>
        <v>440.54</v>
      </c>
    </row>
    <row r="17" spans="1:27" x14ac:dyDescent="0.3">
      <c r="A17" s="11" t="s">
        <v>32</v>
      </c>
      <c r="B17" s="11" t="str">
        <f>_xlfn.CONCAT(Augmented_Data!$C17," ",Augmented_Data!$D17)</f>
        <v>Joshua Campbell</v>
      </c>
      <c r="C17" s="11" t="s">
        <v>132</v>
      </c>
      <c r="D17" s="11" t="s">
        <v>214</v>
      </c>
      <c r="E17" s="11">
        <v>24</v>
      </c>
      <c r="F17" s="11" t="s">
        <v>288</v>
      </c>
      <c r="G17" s="11" t="s">
        <v>293</v>
      </c>
      <c r="H17" s="11" t="s">
        <v>313</v>
      </c>
      <c r="I17" s="11" t="s">
        <v>413</v>
      </c>
      <c r="J17" s="11" t="s">
        <v>514</v>
      </c>
      <c r="K17" s="12">
        <v>45079</v>
      </c>
      <c r="L17" s="11" t="s">
        <v>1014</v>
      </c>
      <c r="M17" s="11" t="s">
        <v>1501</v>
      </c>
      <c r="N17" s="11">
        <v>330.11</v>
      </c>
      <c r="O17" s="11">
        <v>4</v>
      </c>
      <c r="P17" s="11" t="s">
        <v>1547</v>
      </c>
      <c r="Q17" s="11" t="str">
        <f>_xlfn.IFS(Augmented_Data!$P17="FLAT8","8%",Augmented_Data!$P17="FLAT10","10%",Augmented_Data!$P17="FLAT15","15%",Augmented_Data!$P17="FLAT20","20%",Augmented_Data!$P17="DEL0","0 delivery charge")</f>
        <v>0 delivery charge</v>
      </c>
      <c r="R17" s="11">
        <v>1</v>
      </c>
      <c r="S17" s="11" t="str">
        <f>_xlfn.IFS(Augmented_Data!U17-Augmented_Data!K17=Augmented_Data!$R17,"Intime",Augmented_Data!U17-Augmented_Data!K17&lt;Augmented_Data!R17,"Before Time",Augmented_Data!U17-Augmented_Data!K17&gt;Augmented_Data!R17,"Late")</f>
        <v>Intime</v>
      </c>
      <c r="T17" s="11">
        <v>58</v>
      </c>
      <c r="U17" s="12">
        <v>45080</v>
      </c>
      <c r="V17" s="11">
        <f>DATEDIF(Augmented_Data!$K17,Augmented_Data!$U17,"D")</f>
        <v>1</v>
      </c>
      <c r="W17" s="11" t="s">
        <v>1566</v>
      </c>
      <c r="X17" s="11">
        <f>Augmented_Data!$Z17-Augmented_Data!$AA17</f>
        <v>58</v>
      </c>
      <c r="Y17" s="11">
        <f>Augmented_Data!$N17*Augmented_Data!$O17</f>
        <v>1320.44</v>
      </c>
      <c r="Z17" s="11">
        <f>Augmented_Data!$Y17+Augmented_Data!$T17</f>
        <v>1378.44</v>
      </c>
      <c r="AA17" s="13">
        <f>IF(Augmented_Data!Q17="0 delivery charge",Augmented_Data!Z17-Augmented_Data!T17,Augmented_Data!Z17*(1-Augmented_Data!Q17))</f>
        <v>1320.44</v>
      </c>
    </row>
    <row r="18" spans="1:27" x14ac:dyDescent="0.3">
      <c r="A18" s="14" t="s">
        <v>33</v>
      </c>
      <c r="B18" s="14" t="str">
        <f>_xlfn.CONCAT(Augmented_Data!$C18," ",Augmented_Data!$D18)</f>
        <v>Erin Miller</v>
      </c>
      <c r="C18" s="14" t="s">
        <v>133</v>
      </c>
      <c r="D18" s="14" t="s">
        <v>215</v>
      </c>
      <c r="E18" s="14">
        <v>46</v>
      </c>
      <c r="F18" s="14" t="s">
        <v>288</v>
      </c>
      <c r="G18" s="14" t="s">
        <v>297</v>
      </c>
      <c r="H18" s="14" t="s">
        <v>314</v>
      </c>
      <c r="I18" s="14" t="s">
        <v>414</v>
      </c>
      <c r="J18" s="14" t="s">
        <v>515</v>
      </c>
      <c r="K18" s="15">
        <v>44966</v>
      </c>
      <c r="L18" s="14" t="s">
        <v>1015</v>
      </c>
      <c r="M18" s="14" t="s">
        <v>1511</v>
      </c>
      <c r="N18" s="14">
        <v>272.51</v>
      </c>
      <c r="O18" s="14">
        <v>4</v>
      </c>
      <c r="P18" s="14" t="s">
        <v>1549</v>
      </c>
      <c r="Q18" s="14" t="str">
        <f>_xlfn.IFS(Augmented_Data!$P18="FLAT8","8%",Augmented_Data!$P18="FLAT10","10%",Augmented_Data!$P18="FLAT15","15%",Augmented_Data!$P18="FLAT20","20%",Augmented_Data!$P18="DEL0","0 delivery charge")</f>
        <v>10%</v>
      </c>
      <c r="R18" s="14">
        <v>5</v>
      </c>
      <c r="S18" s="14" t="str">
        <f>_xlfn.IFS(Augmented_Data!U18-Augmented_Data!K18=Augmented_Data!$R18,"Intime",Augmented_Data!U18-Augmented_Data!K18&lt;Augmented_Data!R18,"Before Time",Augmented_Data!U18-Augmented_Data!K18&gt;Augmented_Data!R18,"Late")</f>
        <v>Before Time</v>
      </c>
      <c r="T18" s="14">
        <v>40</v>
      </c>
      <c r="U18" s="15">
        <v>44970</v>
      </c>
      <c r="V18" s="14">
        <f>DATEDIF(Augmented_Data!$K18,Augmented_Data!$U18,"D")</f>
        <v>4</v>
      </c>
      <c r="W18" s="14" t="s">
        <v>1567</v>
      </c>
      <c r="X18" s="14">
        <f>Augmented_Data!$Z18-Augmented_Data!$AA18</f>
        <v>113.00400000000002</v>
      </c>
      <c r="Y18" s="14">
        <f>Augmented_Data!$N18*Augmented_Data!$O18</f>
        <v>1090.04</v>
      </c>
      <c r="Z18" s="14">
        <f>Augmented_Data!$Y18+Augmented_Data!$T18</f>
        <v>1130.04</v>
      </c>
      <c r="AA18" s="16">
        <f>IF(Augmented_Data!Q18="0 delivery charge",Augmented_Data!Z18-Augmented_Data!T18,Augmented_Data!Z18*(1-Augmented_Data!Q18))</f>
        <v>1017.0359999999999</v>
      </c>
    </row>
    <row r="19" spans="1:27" x14ac:dyDescent="0.3">
      <c r="A19" s="11" t="s">
        <v>34</v>
      </c>
      <c r="B19" s="11" t="str">
        <f>_xlfn.CONCAT(Augmented_Data!$C19," ",Augmented_Data!$D19)</f>
        <v>Gina Moreno</v>
      </c>
      <c r="C19" s="11" t="s">
        <v>134</v>
      </c>
      <c r="D19" s="11" t="s">
        <v>216</v>
      </c>
      <c r="E19" s="11">
        <v>36</v>
      </c>
      <c r="F19" s="11" t="s">
        <v>290</v>
      </c>
      <c r="G19" s="11" t="s">
        <v>294</v>
      </c>
      <c r="H19" s="11" t="s">
        <v>315</v>
      </c>
      <c r="I19" s="11" t="s">
        <v>415</v>
      </c>
      <c r="J19" s="11" t="s">
        <v>516</v>
      </c>
      <c r="K19" s="12">
        <v>45542</v>
      </c>
      <c r="L19" s="11" t="s">
        <v>1016</v>
      </c>
      <c r="M19" s="11" t="s">
        <v>1512</v>
      </c>
      <c r="N19" s="11">
        <v>104.18</v>
      </c>
      <c r="O19" s="11">
        <v>2</v>
      </c>
      <c r="P19" s="11" t="s">
        <v>1547</v>
      </c>
      <c r="Q19" s="11" t="str">
        <f>_xlfn.IFS(Augmented_Data!$P19="FLAT8","8%",Augmented_Data!$P19="FLAT10","10%",Augmented_Data!$P19="FLAT15","15%",Augmented_Data!$P19="FLAT20","20%",Augmented_Data!$P19="DEL0","0 delivery charge")</f>
        <v>0 delivery charge</v>
      </c>
      <c r="R19" s="11">
        <v>4</v>
      </c>
      <c r="S19" s="11" t="str">
        <f>_xlfn.IFS(Augmented_Data!U19-Augmented_Data!K19=Augmented_Data!$R19,"Intime",Augmented_Data!U19-Augmented_Data!K19&lt;Augmented_Data!R19,"Before Time",Augmented_Data!U19-Augmented_Data!K19&gt;Augmented_Data!R19,"Late")</f>
        <v>Before Time</v>
      </c>
      <c r="T19" s="11">
        <v>44</v>
      </c>
      <c r="U19" s="12">
        <v>45545</v>
      </c>
      <c r="V19" s="11">
        <f>DATEDIF(Augmented_Data!$K19,Augmented_Data!$U19,"D")</f>
        <v>3</v>
      </c>
      <c r="W19" s="11" t="s">
        <v>1568</v>
      </c>
      <c r="X19" s="11">
        <f>Augmented_Data!$Z19-Augmented_Data!$AA19</f>
        <v>44</v>
      </c>
      <c r="Y19" s="11">
        <f>Augmented_Data!$N19*Augmented_Data!$O19</f>
        <v>208.36</v>
      </c>
      <c r="Z19" s="11">
        <f>Augmented_Data!$Y19+Augmented_Data!$T19</f>
        <v>252.36</v>
      </c>
      <c r="AA19" s="13">
        <f>IF(Augmented_Data!Q19="0 delivery charge",Augmented_Data!Z19-Augmented_Data!T19,Augmented_Data!Z19*(1-Augmented_Data!Q19))</f>
        <v>208.36</v>
      </c>
    </row>
    <row r="20" spans="1:27" x14ac:dyDescent="0.3">
      <c r="A20" s="14" t="s">
        <v>35</v>
      </c>
      <c r="B20" s="14" t="str">
        <f>_xlfn.CONCAT(Augmented_Data!$C20," ",Augmented_Data!$D20)</f>
        <v>Mallory Mitchell</v>
      </c>
      <c r="C20" s="14" t="s">
        <v>135</v>
      </c>
      <c r="D20" s="14" t="s">
        <v>162</v>
      </c>
      <c r="E20" s="14">
        <v>42</v>
      </c>
      <c r="F20" s="14" t="s">
        <v>289</v>
      </c>
      <c r="G20" s="14" t="s">
        <v>297</v>
      </c>
      <c r="H20" s="14" t="s">
        <v>316</v>
      </c>
      <c r="I20" s="14" t="s">
        <v>416</v>
      </c>
      <c r="J20" s="14" t="s">
        <v>517</v>
      </c>
      <c r="K20" s="15">
        <v>45665</v>
      </c>
      <c r="L20" s="14" t="s">
        <v>1017</v>
      </c>
      <c r="M20" s="14" t="s">
        <v>1505</v>
      </c>
      <c r="N20" s="14">
        <v>48.45</v>
      </c>
      <c r="O20" s="14">
        <v>4</v>
      </c>
      <c r="P20" s="14" t="s">
        <v>1549</v>
      </c>
      <c r="Q20" s="14" t="str">
        <f>_xlfn.IFS(Augmented_Data!$P20="FLAT8","8%",Augmented_Data!$P20="FLAT10","10%",Augmented_Data!$P20="FLAT15","15%",Augmented_Data!$P20="FLAT20","20%",Augmented_Data!$P20="DEL0","0 delivery charge")</f>
        <v>10%</v>
      </c>
      <c r="R20" s="14">
        <v>1</v>
      </c>
      <c r="S20" s="14" t="str">
        <f>_xlfn.IFS(Augmented_Data!U20-Augmented_Data!K20=Augmented_Data!$R20,"Intime",Augmented_Data!U20-Augmented_Data!K20&lt;Augmented_Data!R20,"Before Time",Augmented_Data!U20-Augmented_Data!K20&gt;Augmented_Data!R20,"Late")</f>
        <v>Late</v>
      </c>
      <c r="T20" s="14">
        <v>70</v>
      </c>
      <c r="U20" s="15">
        <v>45670</v>
      </c>
      <c r="V20" s="14">
        <f>DATEDIF(Augmented_Data!$K20,Augmented_Data!$U20,"D")</f>
        <v>5</v>
      </c>
      <c r="W20" s="14" t="s">
        <v>1569</v>
      </c>
      <c r="X20" s="14">
        <f>Augmented_Data!$Z20-Augmented_Data!$AA20</f>
        <v>26.379999999999995</v>
      </c>
      <c r="Y20" s="14">
        <f>Augmented_Data!$N20*Augmented_Data!$O20</f>
        <v>193.8</v>
      </c>
      <c r="Z20" s="14">
        <f>Augmented_Data!$Y20+Augmented_Data!$T20</f>
        <v>263.8</v>
      </c>
      <c r="AA20" s="16">
        <f>IF(Augmented_Data!Q20="0 delivery charge",Augmented_Data!Z20-Augmented_Data!T20,Augmented_Data!Z20*(1-Augmented_Data!Q20))</f>
        <v>237.42000000000002</v>
      </c>
    </row>
    <row r="21" spans="1:27" x14ac:dyDescent="0.3">
      <c r="A21" s="11" t="s">
        <v>36</v>
      </c>
      <c r="B21" s="11" t="str">
        <f>_xlfn.CONCAT(Augmented_Data!$C21," ",Augmented_Data!$D21)</f>
        <v>Traci Jones</v>
      </c>
      <c r="C21" s="11" t="s">
        <v>136</v>
      </c>
      <c r="D21" s="11" t="s">
        <v>217</v>
      </c>
      <c r="E21" s="11">
        <v>34</v>
      </c>
      <c r="F21" s="11" t="s">
        <v>288</v>
      </c>
      <c r="G21" s="11" t="s">
        <v>296</v>
      </c>
      <c r="H21" s="11" t="s">
        <v>317</v>
      </c>
      <c r="I21" s="11" t="s">
        <v>417</v>
      </c>
      <c r="J21" s="11" t="s">
        <v>518</v>
      </c>
      <c r="K21" s="12">
        <v>45556</v>
      </c>
      <c r="L21" s="11" t="s">
        <v>1018</v>
      </c>
      <c r="M21" s="11" t="s">
        <v>1513</v>
      </c>
      <c r="N21" s="11">
        <v>20.7</v>
      </c>
      <c r="O21" s="11">
        <v>5</v>
      </c>
      <c r="P21" s="11" t="s">
        <v>1547</v>
      </c>
      <c r="Q21" s="11" t="str">
        <f>_xlfn.IFS(Augmented_Data!$P21="FLAT8","8%",Augmented_Data!$P21="FLAT10","10%",Augmented_Data!$P21="FLAT15","15%",Augmented_Data!$P21="FLAT20","20%",Augmented_Data!$P21="DEL0","0 delivery charge")</f>
        <v>0 delivery charge</v>
      </c>
      <c r="R21" s="11">
        <v>7</v>
      </c>
      <c r="S21" s="11" t="str">
        <f>_xlfn.IFS(Augmented_Data!U21-Augmented_Data!K21=Augmented_Data!$R21,"Intime",Augmented_Data!U21-Augmented_Data!K21&lt;Augmented_Data!R21,"Before Time",Augmented_Data!U21-Augmented_Data!K21&gt;Augmented_Data!R21,"Late")</f>
        <v>Before Time</v>
      </c>
      <c r="T21" s="11">
        <v>38</v>
      </c>
      <c r="U21" s="12">
        <v>45561</v>
      </c>
      <c r="V21" s="11">
        <f>DATEDIF(Augmented_Data!$K21,Augmented_Data!$U21,"D")</f>
        <v>5</v>
      </c>
      <c r="W21" s="11" t="s">
        <v>1570</v>
      </c>
      <c r="X21" s="11">
        <f>Augmented_Data!$Z21-Augmented_Data!$AA21</f>
        <v>38</v>
      </c>
      <c r="Y21" s="11">
        <f>Augmented_Data!$N21*Augmented_Data!$O21</f>
        <v>103.5</v>
      </c>
      <c r="Z21" s="11">
        <f>Augmented_Data!$Y21+Augmented_Data!$T21</f>
        <v>141.5</v>
      </c>
      <c r="AA21" s="13">
        <f>IF(Augmented_Data!Q21="0 delivery charge",Augmented_Data!Z21-Augmented_Data!T21,Augmented_Data!Z21*(1-Augmented_Data!Q21))</f>
        <v>103.5</v>
      </c>
    </row>
    <row r="22" spans="1:27" x14ac:dyDescent="0.3">
      <c r="A22" s="14" t="s">
        <v>37</v>
      </c>
      <c r="B22" s="14" t="str">
        <f>_xlfn.CONCAT(Augmented_Data!$C22," ",Augmented_Data!$D22)</f>
        <v>Deborah Bates</v>
      </c>
      <c r="C22" s="14" t="s">
        <v>137</v>
      </c>
      <c r="D22" s="14" t="s">
        <v>218</v>
      </c>
      <c r="E22" s="14">
        <v>23</v>
      </c>
      <c r="F22" s="14" t="s">
        <v>288</v>
      </c>
      <c r="G22" s="14" t="s">
        <v>296</v>
      </c>
      <c r="H22" s="14" t="s">
        <v>318</v>
      </c>
      <c r="I22" s="14" t="s">
        <v>418</v>
      </c>
      <c r="J22" s="14" t="s">
        <v>519</v>
      </c>
      <c r="K22" s="15">
        <v>45520</v>
      </c>
      <c r="L22" s="14" t="s">
        <v>1019</v>
      </c>
      <c r="M22" s="14" t="s">
        <v>1497</v>
      </c>
      <c r="N22" s="14">
        <v>308.88</v>
      </c>
      <c r="O22" s="14">
        <v>3</v>
      </c>
      <c r="P22" s="14" t="s">
        <v>1549</v>
      </c>
      <c r="Q22" s="14" t="str">
        <f>_xlfn.IFS(Augmented_Data!$P22="FLAT8","8%",Augmented_Data!$P22="FLAT10","10%",Augmented_Data!$P22="FLAT15","15%",Augmented_Data!$P22="FLAT20","20%",Augmented_Data!$P22="DEL0","0 delivery charge")</f>
        <v>10%</v>
      </c>
      <c r="R22" s="14">
        <v>7</v>
      </c>
      <c r="S22" s="14" t="str">
        <f>_xlfn.IFS(Augmented_Data!U22-Augmented_Data!K22=Augmented_Data!$R22,"Intime",Augmented_Data!U22-Augmented_Data!K22&lt;Augmented_Data!R22,"Before Time",Augmented_Data!U22-Augmented_Data!K22&gt;Augmented_Data!R22,"Late")</f>
        <v>Before Time</v>
      </c>
      <c r="T22" s="14">
        <v>43</v>
      </c>
      <c r="U22" s="15">
        <v>45521</v>
      </c>
      <c r="V22" s="14">
        <f>DATEDIF(Augmented_Data!$K22,Augmented_Data!$U22,"D")</f>
        <v>1</v>
      </c>
      <c r="W22" s="14" t="s">
        <v>1571</v>
      </c>
      <c r="X22" s="14">
        <f>Augmented_Data!$Z22-Augmented_Data!$AA22</f>
        <v>96.963999999999942</v>
      </c>
      <c r="Y22" s="14">
        <f>Augmented_Data!$N22*Augmented_Data!$O22</f>
        <v>926.64</v>
      </c>
      <c r="Z22" s="14">
        <f>Augmented_Data!$Y22+Augmented_Data!$T22</f>
        <v>969.64</v>
      </c>
      <c r="AA22" s="16">
        <f>IF(Augmented_Data!Q22="0 delivery charge",Augmented_Data!Z22-Augmented_Data!T22,Augmented_Data!Z22*(1-Augmented_Data!Q22))</f>
        <v>872.67600000000004</v>
      </c>
    </row>
    <row r="23" spans="1:27" x14ac:dyDescent="0.3">
      <c r="A23" s="11" t="s">
        <v>38</v>
      </c>
      <c r="B23" s="11" t="str">
        <f>_xlfn.CONCAT(Augmented_Data!$C23," ",Augmented_Data!$D23)</f>
        <v>Christian Clayton</v>
      </c>
      <c r="C23" s="11" t="s">
        <v>138</v>
      </c>
      <c r="D23" s="11" t="s">
        <v>219</v>
      </c>
      <c r="E23" s="11">
        <v>39</v>
      </c>
      <c r="F23" s="11" t="s">
        <v>289</v>
      </c>
      <c r="G23" s="11" t="s">
        <v>293</v>
      </c>
      <c r="H23" s="11" t="s">
        <v>319</v>
      </c>
      <c r="I23" s="11" t="s">
        <v>419</v>
      </c>
      <c r="J23" s="11" t="s">
        <v>520</v>
      </c>
      <c r="K23" s="12">
        <v>45352</v>
      </c>
      <c r="L23" s="11" t="s">
        <v>1020</v>
      </c>
      <c r="M23" s="11" t="s">
        <v>1512</v>
      </c>
      <c r="N23" s="11">
        <v>104.18</v>
      </c>
      <c r="O23" s="11">
        <v>5</v>
      </c>
      <c r="P23" s="11" t="s">
        <v>2047</v>
      </c>
      <c r="Q23" s="11" t="str">
        <f>_xlfn.IFS(Augmented_Data!$P23="FLAT8","8%",Augmented_Data!$P23="FLAT10","10%",Augmented_Data!$P23="FLAT15","15%",Augmented_Data!$P23="FLAT20","20%",Augmented_Data!$P23="DEL0","0 delivery charge")</f>
        <v>8%</v>
      </c>
      <c r="R23" s="11">
        <v>5</v>
      </c>
      <c r="S23" s="11" t="str">
        <f>_xlfn.IFS(Augmented_Data!U23-Augmented_Data!K23=Augmented_Data!$R23,"Intime",Augmented_Data!U23-Augmented_Data!K23&lt;Augmented_Data!R23,"Before Time",Augmented_Data!U23-Augmented_Data!K23&gt;Augmented_Data!R23,"Late")</f>
        <v>Before Time</v>
      </c>
      <c r="T23" s="11">
        <v>58</v>
      </c>
      <c r="U23" s="12">
        <v>45356</v>
      </c>
      <c r="V23" s="11">
        <f>DATEDIF(Augmented_Data!$K23,Augmented_Data!$U23,"D")</f>
        <v>4</v>
      </c>
      <c r="W23" s="11" t="s">
        <v>1572</v>
      </c>
      <c r="X23" s="11">
        <f>Augmented_Data!$Z23-Augmented_Data!$AA23</f>
        <v>46.312000000000012</v>
      </c>
      <c r="Y23" s="11">
        <f>Augmented_Data!$N23*Augmented_Data!$O23</f>
        <v>520.90000000000009</v>
      </c>
      <c r="Z23" s="11">
        <f>Augmented_Data!$Y23+Augmented_Data!$T23</f>
        <v>578.90000000000009</v>
      </c>
      <c r="AA23" s="13">
        <f>IF(Augmented_Data!Q23="0 delivery charge",Augmented_Data!Z23-Augmented_Data!T23,Augmented_Data!Z23*(1-Augmented_Data!Q23))</f>
        <v>532.58800000000008</v>
      </c>
    </row>
    <row r="24" spans="1:27" x14ac:dyDescent="0.3">
      <c r="A24" s="14" t="s">
        <v>39</v>
      </c>
      <c r="B24" s="14" t="str">
        <f>_xlfn.CONCAT(Augmented_Data!$C24," ",Augmented_Data!$D24)</f>
        <v>Mark Henderson</v>
      </c>
      <c r="C24" s="14" t="s">
        <v>139</v>
      </c>
      <c r="D24" s="14" t="s">
        <v>220</v>
      </c>
      <c r="E24" s="14">
        <v>33</v>
      </c>
      <c r="F24" s="14" t="s">
        <v>290</v>
      </c>
      <c r="G24" s="14" t="s">
        <v>298</v>
      </c>
      <c r="H24" s="14" t="s">
        <v>320</v>
      </c>
      <c r="I24" s="14" t="s">
        <v>420</v>
      </c>
      <c r="J24" s="14" t="s">
        <v>521</v>
      </c>
      <c r="K24" s="15">
        <v>45125</v>
      </c>
      <c r="L24" s="14" t="s">
        <v>1021</v>
      </c>
      <c r="M24" s="14" t="s">
        <v>1514</v>
      </c>
      <c r="N24" s="14">
        <v>461.07</v>
      </c>
      <c r="O24" s="14">
        <v>1</v>
      </c>
      <c r="P24" s="14" t="s">
        <v>2047</v>
      </c>
      <c r="Q24" s="14" t="str">
        <f>_xlfn.IFS(Augmented_Data!$P24="FLAT8","8%",Augmented_Data!$P24="FLAT10","10%",Augmented_Data!$P24="FLAT15","15%",Augmented_Data!$P24="FLAT20","20%",Augmented_Data!$P24="DEL0","0 delivery charge")</f>
        <v>8%</v>
      </c>
      <c r="R24" s="14">
        <v>1</v>
      </c>
      <c r="S24" s="14" t="str">
        <f>_xlfn.IFS(Augmented_Data!U24-Augmented_Data!K24=Augmented_Data!$R24,"Intime",Augmented_Data!U24-Augmented_Data!K24&lt;Augmented_Data!R24,"Before Time",Augmented_Data!U24-Augmented_Data!K24&gt;Augmented_Data!R24,"Late")</f>
        <v>Intime</v>
      </c>
      <c r="T24" s="14">
        <v>56</v>
      </c>
      <c r="U24" s="15">
        <v>45126</v>
      </c>
      <c r="V24" s="14">
        <f>DATEDIF(Augmented_Data!$K24,Augmented_Data!$U24,"D")</f>
        <v>1</v>
      </c>
      <c r="W24" s="14" t="s">
        <v>1573</v>
      </c>
      <c r="X24" s="14">
        <f>Augmented_Data!$Z24-Augmented_Data!$AA24</f>
        <v>41.365599999999972</v>
      </c>
      <c r="Y24" s="14">
        <f>Augmented_Data!$N24*Augmented_Data!$O24</f>
        <v>461.07</v>
      </c>
      <c r="Z24" s="14">
        <f>Augmented_Data!$Y24+Augmented_Data!$T24</f>
        <v>517.06999999999994</v>
      </c>
      <c r="AA24" s="16">
        <f>IF(Augmented_Data!Q24="0 delivery charge",Augmented_Data!Z24-Augmented_Data!T24,Augmented_Data!Z24*(1-Augmented_Data!Q24))</f>
        <v>475.70439999999996</v>
      </c>
    </row>
    <row r="25" spans="1:27" x14ac:dyDescent="0.3">
      <c r="A25" s="11" t="s">
        <v>40</v>
      </c>
      <c r="B25" s="11" t="str">
        <f>_xlfn.CONCAT(Augmented_Data!$C25," ",Augmented_Data!$D25)</f>
        <v>John Herrera</v>
      </c>
      <c r="C25" s="11" t="s">
        <v>121</v>
      </c>
      <c r="D25" s="11" t="s">
        <v>221</v>
      </c>
      <c r="E25" s="11">
        <v>64</v>
      </c>
      <c r="F25" s="11" t="s">
        <v>289</v>
      </c>
      <c r="G25" s="11" t="s">
        <v>292</v>
      </c>
      <c r="H25" s="11" t="s">
        <v>321</v>
      </c>
      <c r="I25" s="11" t="s">
        <v>421</v>
      </c>
      <c r="J25" s="11" t="s">
        <v>522</v>
      </c>
      <c r="K25" s="12">
        <v>45194</v>
      </c>
      <c r="L25" s="11" t="s">
        <v>1022</v>
      </c>
      <c r="M25" s="11" t="s">
        <v>1515</v>
      </c>
      <c r="N25" s="11">
        <v>132.97</v>
      </c>
      <c r="O25" s="11">
        <v>1</v>
      </c>
      <c r="P25" s="11" t="s">
        <v>1548</v>
      </c>
      <c r="Q25" s="11" t="str">
        <f>_xlfn.IFS(Augmented_Data!$P25="FLAT8","8%",Augmented_Data!$P25="FLAT10","10%",Augmented_Data!$P25="FLAT15","15%",Augmented_Data!$P25="FLAT20","20%",Augmented_Data!$P25="DEL0","0 delivery charge")</f>
        <v>15%</v>
      </c>
      <c r="R25" s="11">
        <v>4</v>
      </c>
      <c r="S25" s="11" t="str">
        <f>_xlfn.IFS(Augmented_Data!U25-Augmented_Data!K25=Augmented_Data!$R25,"Intime",Augmented_Data!U25-Augmented_Data!K25&lt;Augmented_Data!R25,"Before Time",Augmented_Data!U25-Augmented_Data!K25&gt;Augmented_Data!R25,"Late")</f>
        <v>Intime</v>
      </c>
      <c r="T25" s="11">
        <v>55</v>
      </c>
      <c r="U25" s="12">
        <v>45198</v>
      </c>
      <c r="V25" s="11">
        <f>DATEDIF(Augmented_Data!$K25,Augmented_Data!$U25,"D")</f>
        <v>4</v>
      </c>
      <c r="W25" s="11" t="s">
        <v>1574</v>
      </c>
      <c r="X25" s="11">
        <f>Augmented_Data!$Z25-Augmented_Data!$AA25</f>
        <v>28.19550000000001</v>
      </c>
      <c r="Y25" s="11">
        <f>Augmented_Data!$N25*Augmented_Data!$O25</f>
        <v>132.97</v>
      </c>
      <c r="Z25" s="11">
        <f>Augmented_Data!$Y25+Augmented_Data!$T25</f>
        <v>187.97</v>
      </c>
      <c r="AA25" s="13">
        <f>IF(Augmented_Data!Q25="0 delivery charge",Augmented_Data!Z25-Augmented_Data!T25,Augmented_Data!Z25*(1-Augmented_Data!Q25))</f>
        <v>159.77449999999999</v>
      </c>
    </row>
    <row r="26" spans="1:27" x14ac:dyDescent="0.3">
      <c r="A26" s="14" t="s">
        <v>41</v>
      </c>
      <c r="B26" s="14" t="str">
        <f>_xlfn.CONCAT(Augmented_Data!$C26," ",Augmented_Data!$D26)</f>
        <v>Angela Evans</v>
      </c>
      <c r="C26" s="14" t="s">
        <v>122</v>
      </c>
      <c r="D26" s="14" t="s">
        <v>222</v>
      </c>
      <c r="E26" s="14">
        <v>52</v>
      </c>
      <c r="F26" s="14" t="s">
        <v>290</v>
      </c>
      <c r="G26" s="14" t="s">
        <v>292</v>
      </c>
      <c r="H26" s="14" t="s">
        <v>322</v>
      </c>
      <c r="I26" s="14" t="s">
        <v>422</v>
      </c>
      <c r="J26" s="14" t="s">
        <v>523</v>
      </c>
      <c r="K26" s="15">
        <v>45146</v>
      </c>
      <c r="L26" s="14" t="s">
        <v>1023</v>
      </c>
      <c r="M26" s="14" t="s">
        <v>1516</v>
      </c>
      <c r="N26" s="14">
        <v>126.19</v>
      </c>
      <c r="O26" s="14">
        <v>2</v>
      </c>
      <c r="P26" s="14" t="s">
        <v>1547</v>
      </c>
      <c r="Q26" s="14" t="str">
        <f>_xlfn.IFS(Augmented_Data!$P26="FLAT8","8%",Augmented_Data!$P26="FLAT10","10%",Augmented_Data!$P26="FLAT15","15%",Augmented_Data!$P26="FLAT20","20%",Augmented_Data!$P26="DEL0","0 delivery charge")</f>
        <v>0 delivery charge</v>
      </c>
      <c r="R26" s="14">
        <v>3</v>
      </c>
      <c r="S26" s="14" t="str">
        <f>_xlfn.IFS(Augmented_Data!U26-Augmented_Data!K26=Augmented_Data!$R26,"Intime",Augmented_Data!U26-Augmented_Data!K26&lt;Augmented_Data!R26,"Before Time",Augmented_Data!U26-Augmented_Data!K26&gt;Augmented_Data!R26,"Late")</f>
        <v>Late</v>
      </c>
      <c r="T26" s="14">
        <v>63</v>
      </c>
      <c r="U26" s="15">
        <v>45150</v>
      </c>
      <c r="V26" s="14">
        <f>DATEDIF(Augmented_Data!$K26,Augmented_Data!$U26,"D")</f>
        <v>4</v>
      </c>
      <c r="W26" s="14" t="s">
        <v>1575</v>
      </c>
      <c r="X26" s="14">
        <f>Augmented_Data!$Z26-Augmented_Data!$AA26</f>
        <v>63</v>
      </c>
      <c r="Y26" s="14">
        <f>Augmented_Data!$N26*Augmented_Data!$O26</f>
        <v>252.38</v>
      </c>
      <c r="Z26" s="14">
        <f>Augmented_Data!$Y26+Augmented_Data!$T26</f>
        <v>315.38</v>
      </c>
      <c r="AA26" s="16">
        <f>IF(Augmented_Data!Q26="0 delivery charge",Augmented_Data!Z26-Augmented_Data!T26,Augmented_Data!Z26*(1-Augmented_Data!Q26))</f>
        <v>252.38</v>
      </c>
    </row>
    <row r="27" spans="1:27" x14ac:dyDescent="0.3">
      <c r="A27" s="11" t="s">
        <v>41</v>
      </c>
      <c r="B27" s="11" t="str">
        <f>_xlfn.CONCAT(Augmented_Data!$C27," ",Augmented_Data!$D27)</f>
        <v>Angela Evans</v>
      </c>
      <c r="C27" s="11" t="s">
        <v>122</v>
      </c>
      <c r="D27" s="11" t="s">
        <v>222</v>
      </c>
      <c r="E27" s="11">
        <v>52</v>
      </c>
      <c r="F27" s="11" t="s">
        <v>290</v>
      </c>
      <c r="G27" s="11" t="s">
        <v>292</v>
      </c>
      <c r="H27" s="11" t="s">
        <v>322</v>
      </c>
      <c r="I27" s="11" t="s">
        <v>422</v>
      </c>
      <c r="J27" s="11" t="s">
        <v>524</v>
      </c>
      <c r="K27" s="12">
        <v>45138</v>
      </c>
      <c r="L27" s="11" t="s">
        <v>1024</v>
      </c>
      <c r="M27" s="11" t="s">
        <v>1517</v>
      </c>
      <c r="N27" s="11">
        <v>282.63</v>
      </c>
      <c r="O27" s="11">
        <v>3</v>
      </c>
      <c r="P27" s="11" t="s">
        <v>1547</v>
      </c>
      <c r="Q27" s="11" t="str">
        <f>_xlfn.IFS(Augmented_Data!$P27="FLAT8","8%",Augmented_Data!$P27="FLAT10","10%",Augmented_Data!$P27="FLAT15","15%",Augmented_Data!$P27="FLAT20","20%",Augmented_Data!$P27="DEL0","0 delivery charge")</f>
        <v>0 delivery charge</v>
      </c>
      <c r="R27" s="11">
        <v>2</v>
      </c>
      <c r="S27" s="11" t="str">
        <f>_xlfn.IFS(Augmented_Data!U27-Augmented_Data!K27=Augmented_Data!$R27,"Intime",Augmented_Data!U27-Augmented_Data!K27&lt;Augmented_Data!R27,"Before Time",Augmented_Data!U27-Augmented_Data!K27&gt;Augmented_Data!R27,"Late")</f>
        <v>Late</v>
      </c>
      <c r="T27" s="11">
        <v>40</v>
      </c>
      <c r="U27" s="12">
        <v>45142</v>
      </c>
      <c r="V27" s="11">
        <f>DATEDIF(Augmented_Data!$K27,Augmented_Data!$U27,"D")</f>
        <v>4</v>
      </c>
      <c r="W27" s="11" t="s">
        <v>1576</v>
      </c>
      <c r="X27" s="11">
        <f>Augmented_Data!$Z27-Augmented_Data!$AA27</f>
        <v>40</v>
      </c>
      <c r="Y27" s="11">
        <f>Augmented_Data!$N27*Augmented_Data!$O27</f>
        <v>847.89</v>
      </c>
      <c r="Z27" s="11">
        <f>Augmented_Data!$Y27+Augmented_Data!$T27</f>
        <v>887.89</v>
      </c>
      <c r="AA27" s="13">
        <f>IF(Augmented_Data!Q27="0 delivery charge",Augmented_Data!Z27-Augmented_Data!T27,Augmented_Data!Z27*(1-Augmented_Data!Q27))</f>
        <v>847.89</v>
      </c>
    </row>
    <row r="28" spans="1:27" x14ac:dyDescent="0.3">
      <c r="A28" s="14" t="s">
        <v>28</v>
      </c>
      <c r="B28" s="14" t="str">
        <f>_xlfn.CONCAT(Augmented_Data!$C28," ",Augmented_Data!$D28)</f>
        <v>Bobby Forbes</v>
      </c>
      <c r="C28" s="14" t="s">
        <v>128</v>
      </c>
      <c r="D28" s="14" t="s">
        <v>210</v>
      </c>
      <c r="E28" s="14">
        <v>20</v>
      </c>
      <c r="F28" s="14" t="s">
        <v>288</v>
      </c>
      <c r="G28" s="14" t="s">
        <v>296</v>
      </c>
      <c r="H28" s="14" t="s">
        <v>309</v>
      </c>
      <c r="I28" s="14" t="s">
        <v>409</v>
      </c>
      <c r="J28" s="14" t="s">
        <v>744</v>
      </c>
      <c r="K28" s="15">
        <v>45066</v>
      </c>
      <c r="L28" s="14" t="s">
        <v>1244</v>
      </c>
      <c r="M28" s="14" t="s">
        <v>1529</v>
      </c>
      <c r="N28" s="14">
        <v>128.13999999999999</v>
      </c>
      <c r="O28" s="14">
        <v>3</v>
      </c>
      <c r="P28" s="14" t="s">
        <v>2047</v>
      </c>
      <c r="Q28" s="14" t="str">
        <f>_xlfn.IFS(Augmented_Data!$P28="FLAT8","8%",Augmented_Data!$P28="FLAT10","10%",Augmented_Data!$P28="FLAT15","15%",Augmented_Data!$P28="FLAT20","20%",Augmented_Data!$P28="DEL0","0 delivery charge")</f>
        <v>8%</v>
      </c>
      <c r="R28" s="14">
        <v>4</v>
      </c>
      <c r="S28" s="14" t="str">
        <f>_xlfn.IFS(Augmented_Data!U28-Augmented_Data!K28=Augmented_Data!$R28,"Intime",Augmented_Data!U28-Augmented_Data!K28&lt;Augmented_Data!R28,"Before Time",Augmented_Data!U28-Augmented_Data!K28&gt;Augmented_Data!R28,"Late")</f>
        <v>Before Time</v>
      </c>
      <c r="T28" s="14">
        <v>70</v>
      </c>
      <c r="U28" s="15">
        <v>45069</v>
      </c>
      <c r="V28" s="14">
        <f>DATEDIF(Augmented_Data!$K28,Augmented_Data!$U28,"D")</f>
        <v>3</v>
      </c>
      <c r="W28" s="14" t="s">
        <v>1795</v>
      </c>
      <c r="X28" s="14">
        <f>Augmented_Data!$Z28-Augmented_Data!$AA28</f>
        <v>36.353599999999972</v>
      </c>
      <c r="Y28" s="14">
        <f>Augmented_Data!$N28*Augmented_Data!$O28</f>
        <v>384.41999999999996</v>
      </c>
      <c r="Z28" s="14">
        <f>Augmented_Data!$Y28+Augmented_Data!$T28</f>
        <v>454.41999999999996</v>
      </c>
      <c r="AA28" s="16">
        <f>IF(Augmented_Data!Q28="0 delivery charge",Augmented_Data!Z28-Augmented_Data!T28,Augmented_Data!Z28*(1-Augmented_Data!Q28))</f>
        <v>418.06639999999999</v>
      </c>
    </row>
    <row r="29" spans="1:27" x14ac:dyDescent="0.3">
      <c r="A29" s="11" t="s">
        <v>28</v>
      </c>
      <c r="B29" s="11" t="str">
        <f>_xlfn.CONCAT(Augmented_Data!$C29," ",Augmented_Data!$D29)</f>
        <v>Bobby Forbes</v>
      </c>
      <c r="C29" s="11" t="s">
        <v>128</v>
      </c>
      <c r="D29" s="11" t="s">
        <v>210</v>
      </c>
      <c r="E29" s="11">
        <v>20</v>
      </c>
      <c r="F29" s="11" t="s">
        <v>288</v>
      </c>
      <c r="G29" s="11" t="s">
        <v>296</v>
      </c>
      <c r="H29" s="11" t="s">
        <v>309</v>
      </c>
      <c r="I29" s="11" t="s">
        <v>409</v>
      </c>
      <c r="J29" s="11" t="s">
        <v>781</v>
      </c>
      <c r="K29" s="12">
        <v>45185</v>
      </c>
      <c r="L29" s="11" t="s">
        <v>1281</v>
      </c>
      <c r="M29" s="11" t="s">
        <v>1503</v>
      </c>
      <c r="N29" s="11">
        <v>363.64</v>
      </c>
      <c r="O29" s="11">
        <v>3</v>
      </c>
      <c r="P29" s="11" t="s">
        <v>1550</v>
      </c>
      <c r="Q29" s="11" t="str">
        <f>_xlfn.IFS(Augmented_Data!$P29="FLAT8","8%",Augmented_Data!$P29="FLAT10","10%",Augmented_Data!$P29="FLAT15","15%",Augmented_Data!$P29="FLAT20","20%",Augmented_Data!$P29="DEL0","0 delivery charge")</f>
        <v>20%</v>
      </c>
      <c r="R29" s="11">
        <v>5</v>
      </c>
      <c r="S29" s="11" t="str">
        <f>_xlfn.IFS(Augmented_Data!U29-Augmented_Data!K29=Augmented_Data!$R29,"Intime",Augmented_Data!U29-Augmented_Data!K29&lt;Augmented_Data!R29,"Before Time",Augmented_Data!U29-Augmented_Data!K29&gt;Augmented_Data!R29,"Late")</f>
        <v>Before Time</v>
      </c>
      <c r="T29" s="11">
        <v>39</v>
      </c>
      <c r="U29" s="12">
        <v>45189</v>
      </c>
      <c r="V29" s="11">
        <f>DATEDIF(Augmented_Data!$K29,Augmented_Data!$U29,"D")</f>
        <v>4</v>
      </c>
      <c r="W29" s="11" t="s">
        <v>1832</v>
      </c>
      <c r="X29" s="11">
        <f>Augmented_Data!$Z29-Augmented_Data!$AA29</f>
        <v>225.98399999999992</v>
      </c>
      <c r="Y29" s="11">
        <f>Augmented_Data!$N29*Augmented_Data!$O29</f>
        <v>1090.92</v>
      </c>
      <c r="Z29" s="11">
        <f>Augmented_Data!$Y29+Augmented_Data!$T29</f>
        <v>1129.92</v>
      </c>
      <c r="AA29" s="13">
        <f>IF(Augmented_Data!Q29="0 delivery charge",Augmented_Data!Z29-Augmented_Data!T29,Augmented_Data!Z29*(1-Augmented_Data!Q29))</f>
        <v>903.93600000000015</v>
      </c>
    </row>
    <row r="30" spans="1:27" x14ac:dyDescent="0.3">
      <c r="A30" s="14" t="s">
        <v>44</v>
      </c>
      <c r="B30" s="14" t="str">
        <f>_xlfn.CONCAT(Augmented_Data!$C30," ",Augmented_Data!$D30)</f>
        <v>Ashley Rose</v>
      </c>
      <c r="C30" s="14" t="s">
        <v>142</v>
      </c>
      <c r="D30" s="14" t="s">
        <v>225</v>
      </c>
      <c r="E30" s="14">
        <v>60</v>
      </c>
      <c r="F30" s="14" t="s">
        <v>290</v>
      </c>
      <c r="G30" s="14" t="s">
        <v>291</v>
      </c>
      <c r="H30" s="14" t="s">
        <v>325</v>
      </c>
      <c r="I30" s="14" t="s">
        <v>425</v>
      </c>
      <c r="J30" s="14" t="s">
        <v>527</v>
      </c>
      <c r="K30" s="15">
        <v>44987</v>
      </c>
      <c r="L30" s="14" t="s">
        <v>1027</v>
      </c>
      <c r="M30" s="14" t="s">
        <v>1503</v>
      </c>
      <c r="N30" s="14">
        <v>363.64</v>
      </c>
      <c r="O30" s="14">
        <v>2</v>
      </c>
      <c r="P30" s="14" t="s">
        <v>1548</v>
      </c>
      <c r="Q30" s="14" t="str">
        <f>_xlfn.IFS(Augmented_Data!$P30="FLAT8","8%",Augmented_Data!$P30="FLAT10","10%",Augmented_Data!$P30="FLAT15","15%",Augmented_Data!$P30="FLAT20","20%",Augmented_Data!$P30="DEL0","0 delivery charge")</f>
        <v>15%</v>
      </c>
      <c r="R30" s="14">
        <v>1</v>
      </c>
      <c r="S30" s="14" t="str">
        <f>_xlfn.IFS(Augmented_Data!U30-Augmented_Data!K30=Augmented_Data!$R30,"Intime",Augmented_Data!U30-Augmented_Data!K30&lt;Augmented_Data!R30,"Before Time",Augmented_Data!U30-Augmented_Data!K30&gt;Augmented_Data!R30,"Late")</f>
        <v>Intime</v>
      </c>
      <c r="T30" s="14">
        <v>43</v>
      </c>
      <c r="U30" s="15">
        <v>44988</v>
      </c>
      <c r="V30" s="14">
        <f>DATEDIF(Augmented_Data!$K30,Augmented_Data!$U30,"D")</f>
        <v>1</v>
      </c>
      <c r="W30" s="14" t="s">
        <v>1579</v>
      </c>
      <c r="X30" s="14">
        <f>Augmented_Data!$Z30-Augmented_Data!$AA30</f>
        <v>115.54200000000003</v>
      </c>
      <c r="Y30" s="14">
        <f>Augmented_Data!$N30*Augmented_Data!$O30</f>
        <v>727.28</v>
      </c>
      <c r="Z30" s="14">
        <f>Augmented_Data!$Y30+Augmented_Data!$T30</f>
        <v>770.28</v>
      </c>
      <c r="AA30" s="16">
        <f>IF(Augmented_Data!Q30="0 delivery charge",Augmented_Data!Z30-Augmented_Data!T30,Augmented_Data!Z30*(1-Augmented_Data!Q30))</f>
        <v>654.73799999999994</v>
      </c>
    </row>
    <row r="31" spans="1:27" x14ac:dyDescent="0.3">
      <c r="A31" s="11" t="s">
        <v>45</v>
      </c>
      <c r="B31" s="11" t="str">
        <f>_xlfn.CONCAT(Augmented_Data!$C31," ",Augmented_Data!$D31)</f>
        <v>Taylor Davis</v>
      </c>
      <c r="C31" s="11" t="s">
        <v>143</v>
      </c>
      <c r="D31" s="11" t="s">
        <v>226</v>
      </c>
      <c r="E31" s="11">
        <v>54</v>
      </c>
      <c r="F31" s="11" t="s">
        <v>289</v>
      </c>
      <c r="G31" s="11" t="s">
        <v>291</v>
      </c>
      <c r="H31" s="11" t="s">
        <v>326</v>
      </c>
      <c r="I31" s="11" t="s">
        <v>426</v>
      </c>
      <c r="J31" s="11" t="s">
        <v>528</v>
      </c>
      <c r="K31" s="12">
        <v>45224</v>
      </c>
      <c r="L31" s="11" t="s">
        <v>1028</v>
      </c>
      <c r="M31" s="11" t="s">
        <v>1520</v>
      </c>
      <c r="N31" s="11">
        <v>62.42</v>
      </c>
      <c r="O31" s="11">
        <v>1</v>
      </c>
      <c r="P31" s="11" t="s">
        <v>1547</v>
      </c>
      <c r="Q31" s="11" t="str">
        <f>_xlfn.IFS(Augmented_Data!$P31="FLAT8","8%",Augmented_Data!$P31="FLAT10","10%",Augmented_Data!$P31="FLAT15","15%",Augmented_Data!$P31="FLAT20","20%",Augmented_Data!$P31="DEL0","0 delivery charge")</f>
        <v>0 delivery charge</v>
      </c>
      <c r="R31" s="11">
        <v>3</v>
      </c>
      <c r="S31" s="11" t="str">
        <f>_xlfn.IFS(Augmented_Data!U31-Augmented_Data!K31=Augmented_Data!$R31,"Intime",Augmented_Data!U31-Augmented_Data!K31&lt;Augmented_Data!R31,"Before Time",Augmented_Data!U31-Augmented_Data!K31&gt;Augmented_Data!R31,"Late")</f>
        <v>Late</v>
      </c>
      <c r="T31" s="11">
        <v>58</v>
      </c>
      <c r="U31" s="12">
        <v>45229</v>
      </c>
      <c r="V31" s="11">
        <f>DATEDIF(Augmented_Data!$K31,Augmented_Data!$U31,"D")</f>
        <v>5</v>
      </c>
      <c r="W31" s="11" t="s">
        <v>1580</v>
      </c>
      <c r="X31" s="11">
        <f>Augmented_Data!$Z31-Augmented_Data!$AA31</f>
        <v>58</v>
      </c>
      <c r="Y31" s="11">
        <f>Augmented_Data!$N31*Augmented_Data!$O31</f>
        <v>62.42</v>
      </c>
      <c r="Z31" s="11">
        <f>Augmented_Data!$Y31+Augmented_Data!$T31</f>
        <v>120.42</v>
      </c>
      <c r="AA31" s="13">
        <f>IF(Augmented_Data!Q31="0 delivery charge",Augmented_Data!Z31-Augmented_Data!T31,Augmented_Data!Z31*(1-Augmented_Data!Q31))</f>
        <v>62.42</v>
      </c>
    </row>
    <row r="32" spans="1:27" x14ac:dyDescent="0.3">
      <c r="A32" s="14" t="s">
        <v>46</v>
      </c>
      <c r="B32" s="14" t="str">
        <f>_xlfn.CONCAT(Augmented_Data!$C32," ",Augmented_Data!$D32)</f>
        <v>Lauren Long</v>
      </c>
      <c r="C32" s="14" t="s">
        <v>144</v>
      </c>
      <c r="D32" s="14" t="s">
        <v>227</v>
      </c>
      <c r="E32" s="14">
        <v>44</v>
      </c>
      <c r="F32" s="14" t="s">
        <v>288</v>
      </c>
      <c r="G32" s="14" t="s">
        <v>298</v>
      </c>
      <c r="H32" s="14" t="s">
        <v>327</v>
      </c>
      <c r="I32" s="14" t="s">
        <v>427</v>
      </c>
      <c r="J32" s="14" t="s">
        <v>529</v>
      </c>
      <c r="K32" s="15">
        <v>45389</v>
      </c>
      <c r="L32" s="14" t="s">
        <v>1029</v>
      </c>
      <c r="M32" s="14" t="s">
        <v>1515</v>
      </c>
      <c r="N32" s="14">
        <v>132.97</v>
      </c>
      <c r="O32" s="14">
        <v>1</v>
      </c>
      <c r="P32" s="14" t="s">
        <v>1547</v>
      </c>
      <c r="Q32" s="14" t="str">
        <f>_xlfn.IFS(Augmented_Data!$P32="FLAT8","8%",Augmented_Data!$P32="FLAT10","10%",Augmented_Data!$P32="FLAT15","15%",Augmented_Data!$P32="FLAT20","20%",Augmented_Data!$P32="DEL0","0 delivery charge")</f>
        <v>0 delivery charge</v>
      </c>
      <c r="R32" s="14">
        <v>6</v>
      </c>
      <c r="S32" s="14" t="str">
        <f>_xlfn.IFS(Augmented_Data!U32-Augmented_Data!K32=Augmented_Data!$R32,"Intime",Augmented_Data!U32-Augmented_Data!K32&lt;Augmented_Data!R32,"Before Time",Augmented_Data!U32-Augmented_Data!K32&gt;Augmented_Data!R32,"Late")</f>
        <v>Late</v>
      </c>
      <c r="T32" s="14">
        <v>57</v>
      </c>
      <c r="U32" s="15">
        <v>45396</v>
      </c>
      <c r="V32" s="14">
        <f>DATEDIF(Augmented_Data!$K32,Augmented_Data!$U32,"D")</f>
        <v>7</v>
      </c>
      <c r="W32" s="14" t="s">
        <v>1581</v>
      </c>
      <c r="X32" s="14">
        <f>Augmented_Data!$Z32-Augmented_Data!$AA32</f>
        <v>57</v>
      </c>
      <c r="Y32" s="14">
        <f>Augmented_Data!$N32*Augmented_Data!$O32</f>
        <v>132.97</v>
      </c>
      <c r="Z32" s="14">
        <f>Augmented_Data!$Y32+Augmented_Data!$T32</f>
        <v>189.97</v>
      </c>
      <c r="AA32" s="16">
        <f>IF(Augmented_Data!Q32="0 delivery charge",Augmented_Data!Z32-Augmented_Data!T32,Augmented_Data!Z32*(1-Augmented_Data!Q32))</f>
        <v>132.97</v>
      </c>
    </row>
    <row r="33" spans="1:27" x14ac:dyDescent="0.3">
      <c r="A33" s="11" t="s">
        <v>100</v>
      </c>
      <c r="B33" s="11" t="str">
        <f>_xlfn.CONCAT(Augmented_Data!$C33," ",Augmented_Data!$D33)</f>
        <v>Teresa Harvey</v>
      </c>
      <c r="C33" s="11" t="s">
        <v>188</v>
      </c>
      <c r="D33" s="11" t="s">
        <v>274</v>
      </c>
      <c r="E33" s="11">
        <v>64</v>
      </c>
      <c r="F33" s="11" t="s">
        <v>290</v>
      </c>
      <c r="G33" s="11" t="s">
        <v>291</v>
      </c>
      <c r="H33" s="11" t="s">
        <v>381</v>
      </c>
      <c r="I33" s="11" t="s">
        <v>481</v>
      </c>
      <c r="J33" s="11" t="s">
        <v>670</v>
      </c>
      <c r="K33" s="12">
        <v>45039</v>
      </c>
      <c r="L33" s="11" t="s">
        <v>1170</v>
      </c>
      <c r="M33" s="11" t="s">
        <v>1524</v>
      </c>
      <c r="N33" s="11">
        <v>157.63999999999999</v>
      </c>
      <c r="O33" s="11">
        <v>4</v>
      </c>
      <c r="P33" s="11" t="s">
        <v>1550</v>
      </c>
      <c r="Q33" s="11" t="str">
        <f>_xlfn.IFS(Augmented_Data!$P33="FLAT8","8%",Augmented_Data!$P33="FLAT10","10%",Augmented_Data!$P33="FLAT15","15%",Augmented_Data!$P33="FLAT20","20%",Augmented_Data!$P33="DEL0","0 delivery charge")</f>
        <v>20%</v>
      </c>
      <c r="R33" s="11">
        <v>7</v>
      </c>
      <c r="S33" s="11" t="str">
        <f>_xlfn.IFS(Augmented_Data!U33-Augmented_Data!K33=Augmented_Data!$R33,"Intime",Augmented_Data!U33-Augmented_Data!K33&lt;Augmented_Data!R33,"Before Time",Augmented_Data!U33-Augmented_Data!K33&gt;Augmented_Data!R33,"Late")</f>
        <v>Intime</v>
      </c>
      <c r="T33" s="11">
        <v>59</v>
      </c>
      <c r="U33" s="12">
        <v>45046</v>
      </c>
      <c r="V33" s="11">
        <f>DATEDIF(Augmented_Data!$K33,Augmented_Data!$U33,"D")</f>
        <v>7</v>
      </c>
      <c r="W33" s="11" t="s">
        <v>1722</v>
      </c>
      <c r="X33" s="11">
        <f>Augmented_Data!$Z33-Augmented_Data!$AA33</f>
        <v>137.91199999999992</v>
      </c>
      <c r="Y33" s="11">
        <f>Augmented_Data!$N33*Augmented_Data!$O33</f>
        <v>630.55999999999995</v>
      </c>
      <c r="Z33" s="11">
        <f>Augmented_Data!$Y33+Augmented_Data!$T33</f>
        <v>689.56</v>
      </c>
      <c r="AA33" s="13">
        <f>IF(Augmented_Data!Q33="0 delivery charge",Augmented_Data!Z33-Augmented_Data!T33,Augmented_Data!Z33*(1-Augmented_Data!Q33))</f>
        <v>551.64800000000002</v>
      </c>
    </row>
    <row r="34" spans="1:27" x14ac:dyDescent="0.3">
      <c r="A34" s="14" t="s">
        <v>46</v>
      </c>
      <c r="B34" s="14" t="str">
        <f>_xlfn.CONCAT(Augmented_Data!$C34," ",Augmented_Data!$D34)</f>
        <v>Lauren Long</v>
      </c>
      <c r="C34" s="14" t="s">
        <v>144</v>
      </c>
      <c r="D34" s="14" t="s">
        <v>227</v>
      </c>
      <c r="E34" s="14">
        <v>44</v>
      </c>
      <c r="F34" s="14" t="s">
        <v>288</v>
      </c>
      <c r="G34" s="14" t="s">
        <v>298</v>
      </c>
      <c r="H34" s="14" t="s">
        <v>327</v>
      </c>
      <c r="I34" s="14" t="s">
        <v>427</v>
      </c>
      <c r="J34" s="14" t="s">
        <v>531</v>
      </c>
      <c r="K34" s="15">
        <v>45548</v>
      </c>
      <c r="L34" s="14" t="s">
        <v>1031</v>
      </c>
      <c r="M34" s="14" t="s">
        <v>1522</v>
      </c>
      <c r="N34" s="14">
        <v>158.53</v>
      </c>
      <c r="O34" s="14">
        <v>5</v>
      </c>
      <c r="P34" s="14" t="s">
        <v>1550</v>
      </c>
      <c r="Q34" s="14" t="str">
        <f>_xlfn.IFS(Augmented_Data!$P34="FLAT8","8%",Augmented_Data!$P34="FLAT10","10%",Augmented_Data!$P34="FLAT15","15%",Augmented_Data!$P34="FLAT20","20%",Augmented_Data!$P34="DEL0","0 delivery charge")</f>
        <v>20%</v>
      </c>
      <c r="R34" s="14">
        <v>3</v>
      </c>
      <c r="S34" s="14" t="str">
        <f>_xlfn.IFS(Augmented_Data!U34-Augmented_Data!K34=Augmented_Data!$R34,"Intime",Augmented_Data!U34-Augmented_Data!K34&lt;Augmented_Data!R34,"Before Time",Augmented_Data!U34-Augmented_Data!K34&gt;Augmented_Data!R34,"Late")</f>
        <v>Late</v>
      </c>
      <c r="T34" s="14">
        <v>42</v>
      </c>
      <c r="U34" s="15">
        <v>45553</v>
      </c>
      <c r="V34" s="14">
        <f>DATEDIF(Augmented_Data!$K34,Augmented_Data!$U34,"D")</f>
        <v>5</v>
      </c>
      <c r="W34" s="14" t="s">
        <v>1583</v>
      </c>
      <c r="X34" s="14">
        <f>Augmented_Data!$Z34-Augmented_Data!$AA34</f>
        <v>166.92999999999995</v>
      </c>
      <c r="Y34" s="14">
        <f>Augmented_Data!$N34*Augmented_Data!$O34</f>
        <v>792.65</v>
      </c>
      <c r="Z34" s="14">
        <f>Augmented_Data!$Y34+Augmented_Data!$T34</f>
        <v>834.65</v>
      </c>
      <c r="AA34" s="16">
        <f>IF(Augmented_Data!Q34="0 delivery charge",Augmented_Data!Z34-Augmented_Data!T34,Augmented_Data!Z34*(1-Augmented_Data!Q34))</f>
        <v>667.72</v>
      </c>
    </row>
    <row r="35" spans="1:27" x14ac:dyDescent="0.3">
      <c r="A35" s="11" t="s">
        <v>48</v>
      </c>
      <c r="B35" s="11" t="str">
        <f>_xlfn.CONCAT(Augmented_Data!$C35," ",Augmented_Data!$D35)</f>
        <v>Heather Schneider</v>
      </c>
      <c r="C35" s="11" t="s">
        <v>146</v>
      </c>
      <c r="D35" s="11" t="s">
        <v>229</v>
      </c>
      <c r="E35" s="11">
        <v>48</v>
      </c>
      <c r="F35" s="11" t="s">
        <v>289</v>
      </c>
      <c r="G35" s="11" t="s">
        <v>296</v>
      </c>
      <c r="H35" s="11" t="s">
        <v>329</v>
      </c>
      <c r="I35" s="11" t="s">
        <v>429</v>
      </c>
      <c r="J35" s="11" t="s">
        <v>532</v>
      </c>
      <c r="K35" s="12">
        <v>45407</v>
      </c>
      <c r="L35" s="11" t="s">
        <v>1032</v>
      </c>
      <c r="M35" s="11" t="s">
        <v>1520</v>
      </c>
      <c r="N35" s="11">
        <v>62.42</v>
      </c>
      <c r="O35" s="11">
        <v>3</v>
      </c>
      <c r="P35" s="11" t="s">
        <v>2047</v>
      </c>
      <c r="Q35" s="11" t="str">
        <f>_xlfn.IFS(Augmented_Data!$P35="FLAT8","8%",Augmented_Data!$P35="FLAT10","10%",Augmented_Data!$P35="FLAT15","15%",Augmented_Data!$P35="FLAT20","20%",Augmented_Data!$P35="DEL0","0 delivery charge")</f>
        <v>8%</v>
      </c>
      <c r="R35" s="11">
        <v>4</v>
      </c>
      <c r="S35" s="11" t="str">
        <f>_xlfn.IFS(Augmented_Data!U35-Augmented_Data!K35=Augmented_Data!$R35,"Intime",Augmented_Data!U35-Augmented_Data!K35&lt;Augmented_Data!R35,"Before Time",Augmented_Data!U35-Augmented_Data!K35&gt;Augmented_Data!R35,"Late")</f>
        <v>Late</v>
      </c>
      <c r="T35" s="11">
        <v>36</v>
      </c>
      <c r="U35" s="12">
        <v>45414</v>
      </c>
      <c r="V35" s="11">
        <f>DATEDIF(Augmented_Data!$K35,Augmented_Data!$U35,"D")</f>
        <v>7</v>
      </c>
      <c r="W35" s="11" t="s">
        <v>1584</v>
      </c>
      <c r="X35" s="11">
        <f>Augmented_Data!$Z35-Augmented_Data!$AA35</f>
        <v>17.860799999999983</v>
      </c>
      <c r="Y35" s="11">
        <f>Augmented_Data!$N35*Augmented_Data!$O35</f>
        <v>187.26</v>
      </c>
      <c r="Z35" s="11">
        <f>Augmented_Data!$Y35+Augmented_Data!$T35</f>
        <v>223.26</v>
      </c>
      <c r="AA35" s="13">
        <f>IF(Augmented_Data!Q35="0 delivery charge",Augmented_Data!Z35-Augmented_Data!T35,Augmented_Data!Z35*(1-Augmented_Data!Q35))</f>
        <v>205.39920000000001</v>
      </c>
    </row>
    <row r="36" spans="1:27" x14ac:dyDescent="0.3">
      <c r="A36" s="14" t="s">
        <v>49</v>
      </c>
      <c r="B36" s="14" t="str">
        <f>_xlfn.CONCAT(Augmented_Data!$C36," ",Augmented_Data!$D36)</f>
        <v>Valerie Carr</v>
      </c>
      <c r="C36" s="14" t="s">
        <v>147</v>
      </c>
      <c r="D36" s="14" t="s">
        <v>230</v>
      </c>
      <c r="E36" s="14">
        <v>26</v>
      </c>
      <c r="F36" s="14" t="s">
        <v>290</v>
      </c>
      <c r="G36" s="14" t="s">
        <v>297</v>
      </c>
      <c r="H36" s="14" t="s">
        <v>330</v>
      </c>
      <c r="I36" s="14" t="s">
        <v>430</v>
      </c>
      <c r="J36" s="14" t="s">
        <v>533</v>
      </c>
      <c r="K36" s="15">
        <v>45168</v>
      </c>
      <c r="L36" s="14" t="s">
        <v>1033</v>
      </c>
      <c r="M36" s="14" t="s">
        <v>1523</v>
      </c>
      <c r="N36" s="14">
        <v>129.75</v>
      </c>
      <c r="O36" s="14">
        <v>1</v>
      </c>
      <c r="P36" s="14" t="s">
        <v>1549</v>
      </c>
      <c r="Q36" s="14" t="str">
        <f>_xlfn.IFS(Augmented_Data!$P36="FLAT8","8%",Augmented_Data!$P36="FLAT10","10%",Augmented_Data!$P36="FLAT15","15%",Augmented_Data!$P36="FLAT20","20%",Augmented_Data!$P36="DEL0","0 delivery charge")</f>
        <v>10%</v>
      </c>
      <c r="R36" s="14">
        <v>5</v>
      </c>
      <c r="S36" s="14" t="str">
        <f>_xlfn.IFS(Augmented_Data!U36-Augmented_Data!K36=Augmented_Data!$R36,"Intime",Augmented_Data!U36-Augmented_Data!K36&lt;Augmented_Data!R36,"Before Time",Augmented_Data!U36-Augmented_Data!K36&gt;Augmented_Data!R36,"Late")</f>
        <v>Before Time</v>
      </c>
      <c r="T36" s="14">
        <v>70</v>
      </c>
      <c r="U36" s="15">
        <v>45172</v>
      </c>
      <c r="V36" s="14">
        <f>DATEDIF(Augmented_Data!$K36,Augmented_Data!$U36,"D")</f>
        <v>4</v>
      </c>
      <c r="W36" s="14" t="s">
        <v>1585</v>
      </c>
      <c r="X36" s="14">
        <f>Augmented_Data!$Z36-Augmented_Data!$AA36</f>
        <v>19.974999999999994</v>
      </c>
      <c r="Y36" s="14">
        <f>Augmented_Data!$N36*Augmented_Data!$O36</f>
        <v>129.75</v>
      </c>
      <c r="Z36" s="14">
        <f>Augmented_Data!$Y36+Augmented_Data!$T36</f>
        <v>199.75</v>
      </c>
      <c r="AA36" s="16">
        <f>IF(Augmented_Data!Q36="0 delivery charge",Augmented_Data!Z36-Augmented_Data!T36,Augmented_Data!Z36*(1-Augmented_Data!Q36))</f>
        <v>179.77500000000001</v>
      </c>
    </row>
    <row r="37" spans="1:27" x14ac:dyDescent="0.3">
      <c r="A37" s="11" t="s">
        <v>41</v>
      </c>
      <c r="B37" s="11" t="str">
        <f>_xlfn.CONCAT(Augmented_Data!$C37," ",Augmented_Data!$D37)</f>
        <v>Angela Evans</v>
      </c>
      <c r="C37" s="11" t="s">
        <v>122</v>
      </c>
      <c r="D37" s="11" t="s">
        <v>222</v>
      </c>
      <c r="E37" s="11">
        <v>52</v>
      </c>
      <c r="F37" s="11" t="s">
        <v>290</v>
      </c>
      <c r="G37" s="11" t="s">
        <v>292</v>
      </c>
      <c r="H37" s="11" t="s">
        <v>322</v>
      </c>
      <c r="I37" s="11" t="s">
        <v>422</v>
      </c>
      <c r="J37" s="11" t="s">
        <v>534</v>
      </c>
      <c r="K37" s="12">
        <v>45244</v>
      </c>
      <c r="L37" s="11" t="s">
        <v>1034</v>
      </c>
      <c r="M37" s="11" t="s">
        <v>1524</v>
      </c>
      <c r="N37" s="11">
        <v>157.63999999999999</v>
      </c>
      <c r="O37" s="11">
        <v>5</v>
      </c>
      <c r="P37" s="11" t="s">
        <v>2047</v>
      </c>
      <c r="Q37" s="11" t="str">
        <f>_xlfn.IFS(Augmented_Data!$P37="FLAT8","8%",Augmented_Data!$P37="FLAT10","10%",Augmented_Data!$P37="FLAT15","15%",Augmented_Data!$P37="FLAT20","20%",Augmented_Data!$P37="DEL0","0 delivery charge")</f>
        <v>8%</v>
      </c>
      <c r="R37" s="11">
        <v>4</v>
      </c>
      <c r="S37" s="11" t="str">
        <f>_xlfn.IFS(Augmented_Data!U37-Augmented_Data!K37=Augmented_Data!$R37,"Intime",Augmented_Data!U37-Augmented_Data!K37&lt;Augmented_Data!R37,"Before Time",Augmented_Data!U37-Augmented_Data!K37&gt;Augmented_Data!R37,"Late")</f>
        <v>Before Time</v>
      </c>
      <c r="T37" s="11">
        <v>53</v>
      </c>
      <c r="U37" s="12">
        <v>45246</v>
      </c>
      <c r="V37" s="11">
        <f>DATEDIF(Augmented_Data!$K37,Augmented_Data!$U37,"D")</f>
        <v>2</v>
      </c>
      <c r="W37" s="11" t="s">
        <v>1586</v>
      </c>
      <c r="X37" s="11">
        <f>Augmented_Data!$Z37-Augmented_Data!$AA37</f>
        <v>67.295999999999935</v>
      </c>
      <c r="Y37" s="11">
        <f>Augmented_Data!$N37*Augmented_Data!$O37</f>
        <v>788.19999999999993</v>
      </c>
      <c r="Z37" s="11">
        <f>Augmented_Data!$Y37+Augmented_Data!$T37</f>
        <v>841.19999999999993</v>
      </c>
      <c r="AA37" s="13">
        <f>IF(Augmented_Data!Q37="0 delivery charge",Augmented_Data!Z37-Augmented_Data!T37,Augmented_Data!Z37*(1-Augmented_Data!Q37))</f>
        <v>773.904</v>
      </c>
    </row>
    <row r="38" spans="1:27" x14ac:dyDescent="0.3">
      <c r="A38" s="14" t="s">
        <v>22</v>
      </c>
      <c r="B38" s="14" t="str">
        <f>_xlfn.CONCAT(Augmented_Data!$C38," ",Augmented_Data!$D38)</f>
        <v>Angela Horne</v>
      </c>
      <c r="C38" s="14" t="s">
        <v>122</v>
      </c>
      <c r="D38" s="14" t="s">
        <v>204</v>
      </c>
      <c r="E38" s="14">
        <v>49</v>
      </c>
      <c r="F38" s="14" t="s">
        <v>290</v>
      </c>
      <c r="G38" s="14" t="s">
        <v>291</v>
      </c>
      <c r="H38" s="14" t="s">
        <v>303</v>
      </c>
      <c r="I38" s="14" t="s">
        <v>403</v>
      </c>
      <c r="J38" s="14" t="s">
        <v>535</v>
      </c>
      <c r="K38" s="15">
        <v>45242</v>
      </c>
      <c r="L38" s="14" t="s">
        <v>1035</v>
      </c>
      <c r="M38" s="14" t="s">
        <v>1513</v>
      </c>
      <c r="N38" s="14">
        <v>20.7</v>
      </c>
      <c r="O38" s="14">
        <v>5</v>
      </c>
      <c r="P38" s="14" t="s">
        <v>1547</v>
      </c>
      <c r="Q38" s="14" t="str">
        <f>_xlfn.IFS(Augmented_Data!$P38="FLAT8","8%",Augmented_Data!$P38="FLAT10","10%",Augmented_Data!$P38="FLAT15","15%",Augmented_Data!$P38="FLAT20","20%",Augmented_Data!$P38="DEL0","0 delivery charge")</f>
        <v>0 delivery charge</v>
      </c>
      <c r="R38" s="14">
        <v>2</v>
      </c>
      <c r="S38" s="14" t="str">
        <f>_xlfn.IFS(Augmented_Data!U38-Augmented_Data!K38=Augmented_Data!$R38,"Intime",Augmented_Data!U38-Augmented_Data!K38&lt;Augmented_Data!R38,"Before Time",Augmented_Data!U38-Augmented_Data!K38&gt;Augmented_Data!R38,"Late")</f>
        <v>Late</v>
      </c>
      <c r="T38" s="14">
        <v>64</v>
      </c>
      <c r="U38" s="15">
        <v>45248</v>
      </c>
      <c r="V38" s="14">
        <f>DATEDIF(Augmented_Data!$K38,Augmented_Data!$U38,"D")</f>
        <v>6</v>
      </c>
      <c r="W38" s="14" t="s">
        <v>1587</v>
      </c>
      <c r="X38" s="14">
        <f>Augmented_Data!$Z38-Augmented_Data!$AA38</f>
        <v>64</v>
      </c>
      <c r="Y38" s="14">
        <f>Augmented_Data!$N38*Augmented_Data!$O38</f>
        <v>103.5</v>
      </c>
      <c r="Z38" s="14">
        <f>Augmented_Data!$Y38+Augmented_Data!$T38</f>
        <v>167.5</v>
      </c>
      <c r="AA38" s="16">
        <f>IF(Augmented_Data!Q38="0 delivery charge",Augmented_Data!Z38-Augmented_Data!T38,Augmented_Data!Z38*(1-Augmented_Data!Q38))</f>
        <v>103.5</v>
      </c>
    </row>
    <row r="39" spans="1:27" x14ac:dyDescent="0.3">
      <c r="A39" s="11" t="s">
        <v>50</v>
      </c>
      <c r="B39" s="11" t="str">
        <f>_xlfn.CONCAT(Augmented_Data!$C39," ",Augmented_Data!$D39)</f>
        <v>Jenny Estrada</v>
      </c>
      <c r="C39" s="11" t="s">
        <v>148</v>
      </c>
      <c r="D39" s="11" t="s">
        <v>231</v>
      </c>
      <c r="E39" s="11">
        <v>45</v>
      </c>
      <c r="F39" s="11" t="s">
        <v>288</v>
      </c>
      <c r="G39" s="11" t="s">
        <v>292</v>
      </c>
      <c r="H39" s="11" t="s">
        <v>331</v>
      </c>
      <c r="I39" s="11" t="s">
        <v>431</v>
      </c>
      <c r="J39" s="11" t="s">
        <v>536</v>
      </c>
      <c r="K39" s="12">
        <v>45193</v>
      </c>
      <c r="L39" s="11" t="s">
        <v>1036</v>
      </c>
      <c r="M39" s="11" t="s">
        <v>1525</v>
      </c>
      <c r="N39" s="11">
        <v>481.48</v>
      </c>
      <c r="O39" s="11">
        <v>2</v>
      </c>
      <c r="P39" s="11" t="s">
        <v>1548</v>
      </c>
      <c r="Q39" s="11" t="str">
        <f>_xlfn.IFS(Augmented_Data!$P39="FLAT8","8%",Augmented_Data!$P39="FLAT10","10%",Augmented_Data!$P39="FLAT15","15%",Augmented_Data!$P39="FLAT20","20%",Augmented_Data!$P39="DEL0","0 delivery charge")</f>
        <v>15%</v>
      </c>
      <c r="R39" s="11">
        <v>3</v>
      </c>
      <c r="S39" s="11" t="str">
        <f>_xlfn.IFS(Augmented_Data!U39-Augmented_Data!K39=Augmented_Data!$R39,"Intime",Augmented_Data!U39-Augmented_Data!K39&lt;Augmented_Data!R39,"Before Time",Augmented_Data!U39-Augmented_Data!K39&gt;Augmented_Data!R39,"Late")</f>
        <v>Intime</v>
      </c>
      <c r="T39" s="11">
        <v>50</v>
      </c>
      <c r="U39" s="12">
        <v>45196</v>
      </c>
      <c r="V39" s="11">
        <f>DATEDIF(Augmented_Data!$K39,Augmented_Data!$U39,"D")</f>
        <v>3</v>
      </c>
      <c r="W39" s="11" t="s">
        <v>1588</v>
      </c>
      <c r="X39" s="11">
        <f>Augmented_Data!$Z39-Augmented_Data!$AA39</f>
        <v>151.94400000000007</v>
      </c>
      <c r="Y39" s="11">
        <f>Augmented_Data!$N39*Augmented_Data!$O39</f>
        <v>962.96</v>
      </c>
      <c r="Z39" s="11">
        <f>Augmented_Data!$Y39+Augmented_Data!$T39</f>
        <v>1012.96</v>
      </c>
      <c r="AA39" s="13">
        <f>IF(Augmented_Data!Q39="0 delivery charge",Augmented_Data!Z39-Augmented_Data!T39,Augmented_Data!Z39*(1-Augmented_Data!Q39))</f>
        <v>861.01599999999996</v>
      </c>
    </row>
    <row r="40" spans="1:27" x14ac:dyDescent="0.3">
      <c r="A40" s="14" t="s">
        <v>51</v>
      </c>
      <c r="B40" s="14" t="str">
        <f>_xlfn.CONCAT(Augmented_Data!$C40," ",Augmented_Data!$D40)</f>
        <v>Courtney Parker</v>
      </c>
      <c r="C40" s="14" t="s">
        <v>149</v>
      </c>
      <c r="D40" s="14" t="s">
        <v>232</v>
      </c>
      <c r="E40" s="14">
        <v>29</v>
      </c>
      <c r="F40" s="14" t="s">
        <v>290</v>
      </c>
      <c r="G40" s="14" t="s">
        <v>296</v>
      </c>
      <c r="H40" s="14" t="s">
        <v>332</v>
      </c>
      <c r="I40" s="14" t="s">
        <v>432</v>
      </c>
      <c r="J40" s="14" t="s">
        <v>537</v>
      </c>
      <c r="K40" s="15">
        <v>45656</v>
      </c>
      <c r="L40" s="14" t="s">
        <v>1037</v>
      </c>
      <c r="M40" s="14" t="s">
        <v>1526</v>
      </c>
      <c r="N40" s="14">
        <v>405</v>
      </c>
      <c r="O40" s="14">
        <v>1</v>
      </c>
      <c r="P40" s="14" t="s">
        <v>1547</v>
      </c>
      <c r="Q40" s="14" t="str">
        <f>_xlfn.IFS(Augmented_Data!$P40="FLAT8","8%",Augmented_Data!$P40="FLAT10","10%",Augmented_Data!$P40="FLAT15","15%",Augmented_Data!$P40="FLAT20","20%",Augmented_Data!$P40="DEL0","0 delivery charge")</f>
        <v>0 delivery charge</v>
      </c>
      <c r="R40" s="14">
        <v>7</v>
      </c>
      <c r="S40" s="14" t="str">
        <f>_xlfn.IFS(Augmented_Data!U40-Augmented_Data!K40=Augmented_Data!$R40,"Intime",Augmented_Data!U40-Augmented_Data!K40&lt;Augmented_Data!R40,"Before Time",Augmented_Data!U40-Augmented_Data!K40&gt;Augmented_Data!R40,"Late")</f>
        <v>Before Time</v>
      </c>
      <c r="T40" s="14">
        <v>36</v>
      </c>
      <c r="U40" s="15">
        <v>45661</v>
      </c>
      <c r="V40" s="14">
        <f>DATEDIF(Augmented_Data!$K40,Augmented_Data!$U40,"D")</f>
        <v>5</v>
      </c>
      <c r="W40" s="14" t="s">
        <v>1589</v>
      </c>
      <c r="X40" s="14">
        <f>Augmented_Data!$Z40-Augmented_Data!$AA40</f>
        <v>36</v>
      </c>
      <c r="Y40" s="14">
        <f>Augmented_Data!$N40*Augmented_Data!$O40</f>
        <v>405</v>
      </c>
      <c r="Z40" s="14">
        <f>Augmented_Data!$Y40+Augmented_Data!$T40</f>
        <v>441</v>
      </c>
      <c r="AA40" s="16">
        <f>IF(Augmented_Data!Q40="0 delivery charge",Augmented_Data!Z40-Augmented_Data!T40,Augmented_Data!Z40*(1-Augmented_Data!Q40))</f>
        <v>405</v>
      </c>
    </row>
    <row r="41" spans="1:27" x14ac:dyDescent="0.3">
      <c r="A41" s="11" t="s">
        <v>52</v>
      </c>
      <c r="B41" s="11" t="str">
        <f>_xlfn.CONCAT(Augmented_Data!$C41," ",Augmented_Data!$D41)</f>
        <v>Julie Meyer</v>
      </c>
      <c r="C41" s="11" t="s">
        <v>150</v>
      </c>
      <c r="D41" s="11" t="s">
        <v>233</v>
      </c>
      <c r="E41" s="11">
        <v>23</v>
      </c>
      <c r="F41" s="11" t="s">
        <v>288</v>
      </c>
      <c r="G41" s="11" t="s">
        <v>291</v>
      </c>
      <c r="H41" s="11" t="s">
        <v>333</v>
      </c>
      <c r="I41" s="11" t="s">
        <v>433</v>
      </c>
      <c r="J41" s="11" t="s">
        <v>538</v>
      </c>
      <c r="K41" s="12">
        <v>45574</v>
      </c>
      <c r="L41" s="11" t="s">
        <v>1038</v>
      </c>
      <c r="M41" s="11" t="s">
        <v>1527</v>
      </c>
      <c r="N41" s="11">
        <v>77.84</v>
      </c>
      <c r="O41" s="11">
        <v>5</v>
      </c>
      <c r="P41" s="11" t="s">
        <v>1547</v>
      </c>
      <c r="Q41" s="11" t="str">
        <f>_xlfn.IFS(Augmented_Data!$P41="FLAT8","8%",Augmented_Data!$P41="FLAT10","10%",Augmented_Data!$P41="FLAT15","15%",Augmented_Data!$P41="FLAT20","20%",Augmented_Data!$P41="DEL0","0 delivery charge")</f>
        <v>0 delivery charge</v>
      </c>
      <c r="R41" s="11">
        <v>4</v>
      </c>
      <c r="S41" s="11" t="str">
        <f>_xlfn.IFS(Augmented_Data!U41-Augmented_Data!K41=Augmented_Data!$R41,"Intime",Augmented_Data!U41-Augmented_Data!K41&lt;Augmented_Data!R41,"Before Time",Augmented_Data!U41-Augmented_Data!K41&gt;Augmented_Data!R41,"Late")</f>
        <v>Before Time</v>
      </c>
      <c r="T41" s="11">
        <v>47</v>
      </c>
      <c r="U41" s="12">
        <v>45575</v>
      </c>
      <c r="V41" s="11">
        <f>DATEDIF(Augmented_Data!$K41,Augmented_Data!$U41,"D")</f>
        <v>1</v>
      </c>
      <c r="W41" s="11" t="s">
        <v>1590</v>
      </c>
      <c r="X41" s="11">
        <f>Augmented_Data!$Z41-Augmented_Data!$AA41</f>
        <v>47</v>
      </c>
      <c r="Y41" s="11">
        <f>Augmented_Data!$N41*Augmented_Data!$O41</f>
        <v>389.20000000000005</v>
      </c>
      <c r="Z41" s="11">
        <f>Augmented_Data!$Y41+Augmented_Data!$T41</f>
        <v>436.20000000000005</v>
      </c>
      <c r="AA41" s="13">
        <f>IF(Augmented_Data!Q41="0 delivery charge",Augmented_Data!Z41-Augmented_Data!T41,Augmented_Data!Z41*(1-Augmented_Data!Q41))</f>
        <v>389.20000000000005</v>
      </c>
    </row>
    <row r="42" spans="1:27" x14ac:dyDescent="0.3">
      <c r="A42" s="14" t="s">
        <v>22</v>
      </c>
      <c r="B42" s="14" t="str">
        <f>_xlfn.CONCAT(Augmented_Data!$C42," ",Augmented_Data!$D42)</f>
        <v>Angela Horne</v>
      </c>
      <c r="C42" s="14" t="s">
        <v>122</v>
      </c>
      <c r="D42" s="14" t="s">
        <v>204</v>
      </c>
      <c r="E42" s="14">
        <v>49</v>
      </c>
      <c r="F42" s="14" t="s">
        <v>290</v>
      </c>
      <c r="G42" s="14" t="s">
        <v>291</v>
      </c>
      <c r="H42" s="14" t="s">
        <v>303</v>
      </c>
      <c r="I42" s="14" t="s">
        <v>403</v>
      </c>
      <c r="J42" s="14" t="s">
        <v>539</v>
      </c>
      <c r="K42" s="15">
        <v>45557</v>
      </c>
      <c r="L42" s="14" t="s">
        <v>1039</v>
      </c>
      <c r="M42" s="14" t="s">
        <v>1506</v>
      </c>
      <c r="N42" s="14">
        <v>372.62</v>
      </c>
      <c r="O42" s="14">
        <v>3</v>
      </c>
      <c r="P42" s="14" t="s">
        <v>2047</v>
      </c>
      <c r="Q42" s="14" t="str">
        <f>_xlfn.IFS(Augmented_Data!$P42="FLAT8","8%",Augmented_Data!$P42="FLAT10","10%",Augmented_Data!$P42="FLAT15","15%",Augmented_Data!$P42="FLAT20","20%",Augmented_Data!$P42="DEL0","0 delivery charge")</f>
        <v>8%</v>
      </c>
      <c r="R42" s="14">
        <v>3</v>
      </c>
      <c r="S42" s="14" t="str">
        <f>_xlfn.IFS(Augmented_Data!U42-Augmented_Data!K42=Augmented_Data!$R42,"Intime",Augmented_Data!U42-Augmented_Data!K42&lt;Augmented_Data!R42,"Before Time",Augmented_Data!U42-Augmented_Data!K42&gt;Augmented_Data!R42,"Late")</f>
        <v>Late</v>
      </c>
      <c r="T42" s="14">
        <v>59</v>
      </c>
      <c r="U42" s="15">
        <v>45564</v>
      </c>
      <c r="V42" s="14">
        <f>DATEDIF(Augmented_Data!$K42,Augmented_Data!$U42,"D")</f>
        <v>7</v>
      </c>
      <c r="W42" s="14" t="s">
        <v>1591</v>
      </c>
      <c r="X42" s="14">
        <f>Augmented_Data!$Z42-Augmented_Data!$AA42</f>
        <v>94.148799999999937</v>
      </c>
      <c r="Y42" s="14">
        <f>Augmented_Data!$N42*Augmented_Data!$O42</f>
        <v>1117.8600000000001</v>
      </c>
      <c r="Z42" s="14">
        <f>Augmented_Data!$Y42+Augmented_Data!$T42</f>
        <v>1176.8600000000001</v>
      </c>
      <c r="AA42" s="16">
        <f>IF(Augmented_Data!Q42="0 delivery charge",Augmented_Data!Z42-Augmented_Data!T42,Augmented_Data!Z42*(1-Augmented_Data!Q42))</f>
        <v>1082.7112000000002</v>
      </c>
    </row>
    <row r="43" spans="1:27" x14ac:dyDescent="0.3">
      <c r="A43" s="11" t="s">
        <v>31</v>
      </c>
      <c r="B43" s="11" t="str">
        <f>_xlfn.CONCAT(Augmented_Data!$C43," ",Augmented_Data!$D43)</f>
        <v>Amy Reid</v>
      </c>
      <c r="C43" s="11" t="s">
        <v>131</v>
      </c>
      <c r="D43" s="11" t="s">
        <v>213</v>
      </c>
      <c r="E43" s="11">
        <v>44</v>
      </c>
      <c r="F43" s="11" t="s">
        <v>289</v>
      </c>
      <c r="G43" s="11" t="s">
        <v>296</v>
      </c>
      <c r="H43" s="11" t="s">
        <v>312</v>
      </c>
      <c r="I43" s="11" t="s">
        <v>412</v>
      </c>
      <c r="J43" s="11" t="s">
        <v>540</v>
      </c>
      <c r="K43" s="12">
        <v>45568</v>
      </c>
      <c r="L43" s="11" t="s">
        <v>1040</v>
      </c>
      <c r="M43" s="11" t="s">
        <v>1506</v>
      </c>
      <c r="N43" s="11">
        <v>372.62</v>
      </c>
      <c r="O43" s="11">
        <v>3</v>
      </c>
      <c r="P43" s="11" t="s">
        <v>2047</v>
      </c>
      <c r="Q43" s="11" t="str">
        <f>_xlfn.IFS(Augmented_Data!$P43="FLAT8","8%",Augmented_Data!$P43="FLAT10","10%",Augmented_Data!$P43="FLAT15","15%",Augmented_Data!$P43="FLAT20","20%",Augmented_Data!$P43="DEL0","0 delivery charge")</f>
        <v>8%</v>
      </c>
      <c r="R43" s="11">
        <v>1</v>
      </c>
      <c r="S43" s="11" t="str">
        <f>_xlfn.IFS(Augmented_Data!U43-Augmented_Data!K43=Augmented_Data!$R43,"Intime",Augmented_Data!U43-Augmented_Data!K43&lt;Augmented_Data!R43,"Before Time",Augmented_Data!U43-Augmented_Data!K43&gt;Augmented_Data!R43,"Late")</f>
        <v>Late</v>
      </c>
      <c r="T43" s="11">
        <v>52</v>
      </c>
      <c r="U43" s="12">
        <v>45575</v>
      </c>
      <c r="V43" s="11">
        <f>DATEDIF(Augmented_Data!$K43,Augmented_Data!$U43,"D")</f>
        <v>7</v>
      </c>
      <c r="W43" s="11" t="s">
        <v>1592</v>
      </c>
      <c r="X43" s="11">
        <f>Augmented_Data!$Z43-Augmented_Data!$AA43</f>
        <v>93.588799999999992</v>
      </c>
      <c r="Y43" s="11">
        <f>Augmented_Data!$N43*Augmented_Data!$O43</f>
        <v>1117.8600000000001</v>
      </c>
      <c r="Z43" s="11">
        <f>Augmented_Data!$Y43+Augmented_Data!$T43</f>
        <v>1169.8600000000001</v>
      </c>
      <c r="AA43" s="13">
        <f>IF(Augmented_Data!Q43="0 delivery charge",Augmented_Data!Z43-Augmented_Data!T43,Augmented_Data!Z43*(1-Augmented_Data!Q43))</f>
        <v>1076.2712000000001</v>
      </c>
    </row>
    <row r="44" spans="1:27" x14ac:dyDescent="0.3">
      <c r="A44" s="14" t="s">
        <v>53</v>
      </c>
      <c r="B44" s="14" t="str">
        <f>_xlfn.CONCAT(Augmented_Data!$C44," ",Augmented_Data!$D44)</f>
        <v>Donna Oneill</v>
      </c>
      <c r="C44" s="14" t="s">
        <v>151</v>
      </c>
      <c r="D44" s="14" t="s">
        <v>234</v>
      </c>
      <c r="E44" s="14">
        <v>70</v>
      </c>
      <c r="F44" s="14" t="s">
        <v>288</v>
      </c>
      <c r="G44" s="14" t="s">
        <v>297</v>
      </c>
      <c r="H44" s="14" t="s">
        <v>334</v>
      </c>
      <c r="I44" s="14" t="s">
        <v>434</v>
      </c>
      <c r="J44" s="14" t="s">
        <v>541</v>
      </c>
      <c r="K44" s="15">
        <v>45151</v>
      </c>
      <c r="L44" s="14" t="s">
        <v>1041</v>
      </c>
      <c r="M44" s="14" t="s">
        <v>1518</v>
      </c>
      <c r="N44" s="14">
        <v>496.59</v>
      </c>
      <c r="O44" s="14">
        <v>3</v>
      </c>
      <c r="P44" s="14" t="s">
        <v>1548</v>
      </c>
      <c r="Q44" s="14" t="str">
        <f>_xlfn.IFS(Augmented_Data!$P44="FLAT8","8%",Augmented_Data!$P44="FLAT10","10%",Augmented_Data!$P44="FLAT15","15%",Augmented_Data!$P44="FLAT20","20%",Augmented_Data!$P44="DEL0","0 delivery charge")</f>
        <v>15%</v>
      </c>
      <c r="R44" s="14">
        <v>4</v>
      </c>
      <c r="S44" s="14" t="str">
        <f>_xlfn.IFS(Augmented_Data!U44-Augmented_Data!K44=Augmented_Data!$R44,"Intime",Augmented_Data!U44-Augmented_Data!K44&lt;Augmented_Data!R44,"Before Time",Augmented_Data!U44-Augmented_Data!K44&gt;Augmented_Data!R44,"Late")</f>
        <v>Before Time</v>
      </c>
      <c r="T44" s="14">
        <v>49</v>
      </c>
      <c r="U44" s="15">
        <v>45152</v>
      </c>
      <c r="V44" s="14">
        <f>DATEDIF(Augmented_Data!$K44,Augmented_Data!$U44,"D")</f>
        <v>1</v>
      </c>
      <c r="W44" s="14" t="s">
        <v>1593</v>
      </c>
      <c r="X44" s="14">
        <f>Augmented_Data!$Z44-Augmented_Data!$AA44</f>
        <v>230.81549999999993</v>
      </c>
      <c r="Y44" s="14">
        <f>Augmented_Data!$N44*Augmented_Data!$O44</f>
        <v>1489.77</v>
      </c>
      <c r="Z44" s="14">
        <f>Augmented_Data!$Y44+Augmented_Data!$T44</f>
        <v>1538.77</v>
      </c>
      <c r="AA44" s="16">
        <f>IF(Augmented_Data!Q44="0 delivery charge",Augmented_Data!Z44-Augmented_Data!T44,Augmented_Data!Z44*(1-Augmented_Data!Q44))</f>
        <v>1307.9545000000001</v>
      </c>
    </row>
    <row r="45" spans="1:27" x14ac:dyDescent="0.3">
      <c r="A45" s="11" t="s">
        <v>54</v>
      </c>
      <c r="B45" s="11" t="str">
        <f>_xlfn.CONCAT(Augmented_Data!$C45," ",Augmented_Data!$D45)</f>
        <v>Robert Castillo</v>
      </c>
      <c r="C45" s="11" t="s">
        <v>152</v>
      </c>
      <c r="D45" s="11" t="s">
        <v>235</v>
      </c>
      <c r="E45" s="11">
        <v>32</v>
      </c>
      <c r="F45" s="11" t="s">
        <v>289</v>
      </c>
      <c r="G45" s="11" t="s">
        <v>297</v>
      </c>
      <c r="H45" s="11" t="s">
        <v>335</v>
      </c>
      <c r="I45" s="11" t="s">
        <v>435</v>
      </c>
      <c r="J45" s="11" t="s">
        <v>542</v>
      </c>
      <c r="K45" s="12">
        <v>45020</v>
      </c>
      <c r="L45" s="11" t="s">
        <v>1042</v>
      </c>
      <c r="M45" s="11" t="s">
        <v>1523</v>
      </c>
      <c r="N45" s="11">
        <v>129.75</v>
      </c>
      <c r="O45" s="11">
        <v>1</v>
      </c>
      <c r="P45" s="11" t="s">
        <v>1549</v>
      </c>
      <c r="Q45" s="11" t="str">
        <f>_xlfn.IFS(Augmented_Data!$P45="FLAT8","8%",Augmented_Data!$P45="FLAT10","10%",Augmented_Data!$P45="FLAT15","15%",Augmented_Data!$P45="FLAT20","20%",Augmented_Data!$P45="DEL0","0 delivery charge")</f>
        <v>10%</v>
      </c>
      <c r="R45" s="11">
        <v>6</v>
      </c>
      <c r="S45" s="11" t="str">
        <f>_xlfn.IFS(Augmented_Data!U45-Augmented_Data!K45=Augmented_Data!$R45,"Intime",Augmented_Data!U45-Augmented_Data!K45&lt;Augmented_Data!R45,"Before Time",Augmented_Data!U45-Augmented_Data!K45&gt;Augmented_Data!R45,"Late")</f>
        <v>Intime</v>
      </c>
      <c r="T45" s="11">
        <v>43</v>
      </c>
      <c r="U45" s="12">
        <v>45026</v>
      </c>
      <c r="V45" s="11">
        <f>DATEDIF(Augmented_Data!$K45,Augmented_Data!$U45,"D")</f>
        <v>6</v>
      </c>
      <c r="W45" s="11" t="s">
        <v>1594</v>
      </c>
      <c r="X45" s="11">
        <f>Augmented_Data!$Z45-Augmented_Data!$AA45</f>
        <v>17.275000000000006</v>
      </c>
      <c r="Y45" s="11">
        <f>Augmented_Data!$N45*Augmented_Data!$O45</f>
        <v>129.75</v>
      </c>
      <c r="Z45" s="11">
        <f>Augmented_Data!$Y45+Augmented_Data!$T45</f>
        <v>172.75</v>
      </c>
      <c r="AA45" s="13">
        <f>IF(Augmented_Data!Q45="0 delivery charge",Augmented_Data!Z45-Augmented_Data!T45,Augmented_Data!Z45*(1-Augmented_Data!Q45))</f>
        <v>155.47499999999999</v>
      </c>
    </row>
    <row r="46" spans="1:27" x14ac:dyDescent="0.3">
      <c r="A46" s="14" t="s">
        <v>55</v>
      </c>
      <c r="B46" s="14" t="str">
        <f>_xlfn.CONCAT(Augmented_Data!$C46," ",Augmented_Data!$D46)</f>
        <v>Timothy Hicks</v>
      </c>
      <c r="C46" s="14" t="s">
        <v>153</v>
      </c>
      <c r="D46" s="14" t="s">
        <v>236</v>
      </c>
      <c r="E46" s="14">
        <v>31</v>
      </c>
      <c r="F46" s="14" t="s">
        <v>290</v>
      </c>
      <c r="G46" s="14" t="s">
        <v>294</v>
      </c>
      <c r="H46" s="14" t="s">
        <v>336</v>
      </c>
      <c r="I46" s="14" t="s">
        <v>436</v>
      </c>
      <c r="J46" s="14" t="s">
        <v>543</v>
      </c>
      <c r="K46" s="15">
        <v>45336</v>
      </c>
      <c r="L46" s="14" t="s">
        <v>1043</v>
      </c>
      <c r="M46" s="14" t="s">
        <v>1509</v>
      </c>
      <c r="N46" s="14">
        <v>190.1</v>
      </c>
      <c r="O46" s="14">
        <v>5</v>
      </c>
      <c r="P46" s="14" t="s">
        <v>2047</v>
      </c>
      <c r="Q46" s="14" t="str">
        <f>_xlfn.IFS(Augmented_Data!$P46="FLAT8","8%",Augmented_Data!$P46="FLAT10","10%",Augmented_Data!$P46="FLAT15","15%",Augmented_Data!$P46="FLAT20","20%",Augmented_Data!$P46="DEL0","0 delivery charge")</f>
        <v>8%</v>
      </c>
      <c r="R46" s="14">
        <v>5</v>
      </c>
      <c r="S46" s="14" t="str">
        <f>_xlfn.IFS(Augmented_Data!U46-Augmented_Data!K46=Augmented_Data!$R46,"Intime",Augmented_Data!U46-Augmented_Data!K46&lt;Augmented_Data!R46,"Before Time",Augmented_Data!U46-Augmented_Data!K46&gt;Augmented_Data!R46,"Late")</f>
        <v>Intime</v>
      </c>
      <c r="T46" s="14">
        <v>35</v>
      </c>
      <c r="U46" s="15">
        <v>45341</v>
      </c>
      <c r="V46" s="14">
        <f>DATEDIF(Augmented_Data!$K46,Augmented_Data!$U46,"D")</f>
        <v>5</v>
      </c>
      <c r="W46" s="14" t="s">
        <v>1595</v>
      </c>
      <c r="X46" s="14">
        <f>Augmented_Data!$Z46-Augmented_Data!$AA46</f>
        <v>78.839999999999918</v>
      </c>
      <c r="Y46" s="14">
        <f>Augmented_Data!$N46*Augmented_Data!$O46</f>
        <v>950.5</v>
      </c>
      <c r="Z46" s="14">
        <f>Augmented_Data!$Y46+Augmented_Data!$T46</f>
        <v>985.5</v>
      </c>
      <c r="AA46" s="16">
        <f>IF(Augmented_Data!Q46="0 delivery charge",Augmented_Data!Z46-Augmented_Data!T46,Augmented_Data!Z46*(1-Augmented_Data!Q46))</f>
        <v>906.66000000000008</v>
      </c>
    </row>
    <row r="47" spans="1:27" x14ac:dyDescent="0.3">
      <c r="A47" s="11" t="s">
        <v>56</v>
      </c>
      <c r="B47" s="11" t="str">
        <f>_xlfn.CONCAT(Augmented_Data!$C47," ",Augmented_Data!$D47)</f>
        <v>Thomas Andersen</v>
      </c>
      <c r="C47" s="11" t="s">
        <v>154</v>
      </c>
      <c r="D47" s="11" t="s">
        <v>237</v>
      </c>
      <c r="E47" s="11">
        <v>50</v>
      </c>
      <c r="F47" s="11" t="s">
        <v>290</v>
      </c>
      <c r="G47" s="11" t="s">
        <v>294</v>
      </c>
      <c r="H47" s="11" t="s">
        <v>337</v>
      </c>
      <c r="I47" s="11" t="s">
        <v>437</v>
      </c>
      <c r="J47" s="11" t="s">
        <v>544</v>
      </c>
      <c r="K47" s="12">
        <v>44987</v>
      </c>
      <c r="L47" s="11" t="s">
        <v>1044</v>
      </c>
      <c r="M47" s="11" t="s">
        <v>1509</v>
      </c>
      <c r="N47" s="11">
        <v>190.1</v>
      </c>
      <c r="O47" s="11">
        <v>1</v>
      </c>
      <c r="P47" s="11" t="s">
        <v>1550</v>
      </c>
      <c r="Q47" s="11" t="str">
        <f>_xlfn.IFS(Augmented_Data!$P47="FLAT8","8%",Augmented_Data!$P47="FLAT10","10%",Augmented_Data!$P47="FLAT15","15%",Augmented_Data!$P47="FLAT20","20%",Augmented_Data!$P47="DEL0","0 delivery charge")</f>
        <v>20%</v>
      </c>
      <c r="R47" s="11">
        <v>4</v>
      </c>
      <c r="S47" s="11" t="str">
        <f>_xlfn.IFS(Augmented_Data!U47-Augmented_Data!K47=Augmented_Data!$R47,"Intime",Augmented_Data!U47-Augmented_Data!K47&lt;Augmented_Data!R47,"Before Time",Augmented_Data!U47-Augmented_Data!K47&gt;Augmented_Data!R47,"Late")</f>
        <v>Late</v>
      </c>
      <c r="T47" s="11">
        <v>63</v>
      </c>
      <c r="U47" s="12">
        <v>44992</v>
      </c>
      <c r="V47" s="11">
        <f>DATEDIF(Augmented_Data!$K47,Augmented_Data!$U47,"D")</f>
        <v>5</v>
      </c>
      <c r="W47" s="11" t="s">
        <v>1596</v>
      </c>
      <c r="X47" s="11">
        <f>Augmented_Data!$Z47-Augmented_Data!$AA47</f>
        <v>50.619999999999976</v>
      </c>
      <c r="Y47" s="11">
        <f>Augmented_Data!$N47*Augmented_Data!$O47</f>
        <v>190.1</v>
      </c>
      <c r="Z47" s="11">
        <f>Augmented_Data!$Y47+Augmented_Data!$T47</f>
        <v>253.1</v>
      </c>
      <c r="AA47" s="13">
        <f>IF(Augmented_Data!Q47="0 delivery charge",Augmented_Data!Z47-Augmented_Data!T47,Augmented_Data!Z47*(1-Augmented_Data!Q47))</f>
        <v>202.48000000000002</v>
      </c>
    </row>
    <row r="48" spans="1:27" x14ac:dyDescent="0.3">
      <c r="A48" s="14" t="s">
        <v>49</v>
      </c>
      <c r="B48" s="14" t="str">
        <f>_xlfn.CONCAT(Augmented_Data!$C48," ",Augmented_Data!$D48)</f>
        <v>Valerie Carr</v>
      </c>
      <c r="C48" s="14" t="s">
        <v>147</v>
      </c>
      <c r="D48" s="14" t="s">
        <v>230</v>
      </c>
      <c r="E48" s="14">
        <v>26</v>
      </c>
      <c r="F48" s="14" t="s">
        <v>290</v>
      </c>
      <c r="G48" s="14" t="s">
        <v>297</v>
      </c>
      <c r="H48" s="14" t="s">
        <v>330</v>
      </c>
      <c r="I48" s="14" t="s">
        <v>430</v>
      </c>
      <c r="J48" s="14" t="s">
        <v>545</v>
      </c>
      <c r="K48" s="15">
        <v>45313</v>
      </c>
      <c r="L48" s="14" t="s">
        <v>1045</v>
      </c>
      <c r="M48" s="14" t="s">
        <v>1528</v>
      </c>
      <c r="N48" s="14">
        <v>431.44</v>
      </c>
      <c r="O48" s="14">
        <v>5</v>
      </c>
      <c r="P48" s="14" t="s">
        <v>2047</v>
      </c>
      <c r="Q48" s="14" t="str">
        <f>_xlfn.IFS(Augmented_Data!$P48="FLAT8","8%",Augmented_Data!$P48="FLAT10","10%",Augmented_Data!$P48="FLAT15","15%",Augmented_Data!$P48="FLAT20","20%",Augmented_Data!$P48="DEL0","0 delivery charge")</f>
        <v>8%</v>
      </c>
      <c r="R48" s="14">
        <v>2</v>
      </c>
      <c r="S48" s="14" t="str">
        <f>_xlfn.IFS(Augmented_Data!U48-Augmented_Data!K48=Augmented_Data!$R48,"Intime",Augmented_Data!U48-Augmented_Data!K48&lt;Augmented_Data!R48,"Before Time",Augmented_Data!U48-Augmented_Data!K48&gt;Augmented_Data!R48,"Late")</f>
        <v>Late</v>
      </c>
      <c r="T48" s="14">
        <v>57</v>
      </c>
      <c r="U48" s="15">
        <v>45318</v>
      </c>
      <c r="V48" s="14">
        <f>DATEDIF(Augmented_Data!$K48,Augmented_Data!$U48,"D")</f>
        <v>5</v>
      </c>
      <c r="W48" s="14" t="s">
        <v>1597</v>
      </c>
      <c r="X48" s="14">
        <f>Augmented_Data!$Z48-Augmented_Data!$AA48</f>
        <v>177.13599999999997</v>
      </c>
      <c r="Y48" s="14">
        <f>Augmented_Data!$N48*Augmented_Data!$O48</f>
        <v>2157.1999999999998</v>
      </c>
      <c r="Z48" s="14">
        <f>Augmented_Data!$Y48+Augmented_Data!$T48</f>
        <v>2214.1999999999998</v>
      </c>
      <c r="AA48" s="16">
        <f>IF(Augmented_Data!Q48="0 delivery charge",Augmented_Data!Z48-Augmented_Data!T48,Augmented_Data!Z48*(1-Augmented_Data!Q48))</f>
        <v>2037.0639999999999</v>
      </c>
    </row>
    <row r="49" spans="1:27" x14ac:dyDescent="0.3">
      <c r="A49" s="11" t="s">
        <v>57</v>
      </c>
      <c r="B49" s="11" t="str">
        <f>_xlfn.CONCAT(Augmented_Data!$C49," ",Augmented_Data!$D49)</f>
        <v>Aaron Thompson</v>
      </c>
      <c r="C49" s="11" t="s">
        <v>155</v>
      </c>
      <c r="D49" s="11" t="s">
        <v>238</v>
      </c>
      <c r="E49" s="11">
        <v>47</v>
      </c>
      <c r="F49" s="11" t="s">
        <v>289</v>
      </c>
      <c r="G49" s="11" t="s">
        <v>296</v>
      </c>
      <c r="H49" s="11" t="s">
        <v>338</v>
      </c>
      <c r="I49" s="11" t="s">
        <v>438</v>
      </c>
      <c r="J49" s="11" t="s">
        <v>546</v>
      </c>
      <c r="K49" s="12">
        <v>45054</v>
      </c>
      <c r="L49" s="11" t="s">
        <v>1046</v>
      </c>
      <c r="M49" s="11" t="s">
        <v>1524</v>
      </c>
      <c r="N49" s="11">
        <v>157.63999999999999</v>
      </c>
      <c r="O49" s="11">
        <v>4</v>
      </c>
      <c r="P49" s="11" t="s">
        <v>2047</v>
      </c>
      <c r="Q49" s="11" t="str">
        <f>_xlfn.IFS(Augmented_Data!$P49="FLAT8","8%",Augmented_Data!$P49="FLAT10","10%",Augmented_Data!$P49="FLAT15","15%",Augmented_Data!$P49="FLAT20","20%",Augmented_Data!$P49="DEL0","0 delivery charge")</f>
        <v>8%</v>
      </c>
      <c r="R49" s="11">
        <v>4</v>
      </c>
      <c r="S49" s="11" t="str">
        <f>_xlfn.IFS(Augmented_Data!U49-Augmented_Data!K49=Augmented_Data!$R49,"Intime",Augmented_Data!U49-Augmented_Data!K49&lt;Augmented_Data!R49,"Before Time",Augmented_Data!U49-Augmented_Data!K49&gt;Augmented_Data!R49,"Late")</f>
        <v>Late</v>
      </c>
      <c r="T49" s="11">
        <v>44</v>
      </c>
      <c r="U49" s="12">
        <v>45061</v>
      </c>
      <c r="V49" s="11">
        <f>DATEDIF(Augmented_Data!$K49,Augmented_Data!$U49,"D")</f>
        <v>7</v>
      </c>
      <c r="W49" s="11" t="s">
        <v>1598</v>
      </c>
      <c r="X49" s="11">
        <f>Augmented_Data!$Z49-Augmented_Data!$AA49</f>
        <v>53.964799999999968</v>
      </c>
      <c r="Y49" s="11">
        <f>Augmented_Data!$N49*Augmented_Data!$O49</f>
        <v>630.55999999999995</v>
      </c>
      <c r="Z49" s="11">
        <f>Augmented_Data!$Y49+Augmented_Data!$T49</f>
        <v>674.56</v>
      </c>
      <c r="AA49" s="13">
        <f>IF(Augmented_Data!Q49="0 delivery charge",Augmented_Data!Z49-Augmented_Data!T49,Augmented_Data!Z49*(1-Augmented_Data!Q49))</f>
        <v>620.59519999999998</v>
      </c>
    </row>
    <row r="50" spans="1:27" x14ac:dyDescent="0.3">
      <c r="A50" s="14" t="s">
        <v>58</v>
      </c>
      <c r="B50" s="14" t="str">
        <f>_xlfn.CONCAT(Augmented_Data!$C50," ",Augmented_Data!$D50)</f>
        <v>Jason Lopez</v>
      </c>
      <c r="C50" s="14" t="s">
        <v>140</v>
      </c>
      <c r="D50" s="14" t="s">
        <v>239</v>
      </c>
      <c r="E50" s="14">
        <v>40</v>
      </c>
      <c r="F50" s="14" t="s">
        <v>290</v>
      </c>
      <c r="G50" s="14" t="s">
        <v>297</v>
      </c>
      <c r="H50" s="14" t="s">
        <v>339</v>
      </c>
      <c r="I50" s="14" t="s">
        <v>439</v>
      </c>
      <c r="J50" s="14" t="s">
        <v>547</v>
      </c>
      <c r="K50" s="15">
        <v>45620</v>
      </c>
      <c r="L50" s="14" t="s">
        <v>1047</v>
      </c>
      <c r="M50" s="14" t="s">
        <v>1498</v>
      </c>
      <c r="N50" s="14">
        <v>166.28</v>
      </c>
      <c r="O50" s="14">
        <v>4</v>
      </c>
      <c r="P50" s="14" t="s">
        <v>1547</v>
      </c>
      <c r="Q50" s="14" t="str">
        <f>_xlfn.IFS(Augmented_Data!$P50="FLAT8","8%",Augmented_Data!$P50="FLAT10","10%",Augmented_Data!$P50="FLAT15","15%",Augmented_Data!$P50="FLAT20","20%",Augmented_Data!$P50="DEL0","0 delivery charge")</f>
        <v>0 delivery charge</v>
      </c>
      <c r="R50" s="14">
        <v>3</v>
      </c>
      <c r="S50" s="14" t="str">
        <f>_xlfn.IFS(Augmented_Data!U50-Augmented_Data!K50=Augmented_Data!$R50,"Intime",Augmented_Data!U50-Augmented_Data!K50&lt;Augmented_Data!R50,"Before Time",Augmented_Data!U50-Augmented_Data!K50&gt;Augmented_Data!R50,"Late")</f>
        <v>Late</v>
      </c>
      <c r="T50" s="14">
        <v>41</v>
      </c>
      <c r="U50" s="15">
        <v>45626</v>
      </c>
      <c r="V50" s="14">
        <f>DATEDIF(Augmented_Data!$K50,Augmented_Data!$U50,"D")</f>
        <v>6</v>
      </c>
      <c r="W50" s="14" t="s">
        <v>1599</v>
      </c>
      <c r="X50" s="14">
        <f>Augmented_Data!$Z50-Augmented_Data!$AA50</f>
        <v>41</v>
      </c>
      <c r="Y50" s="14">
        <f>Augmented_Data!$N50*Augmented_Data!$O50</f>
        <v>665.12</v>
      </c>
      <c r="Z50" s="14">
        <f>Augmented_Data!$Y50+Augmented_Data!$T50</f>
        <v>706.12</v>
      </c>
      <c r="AA50" s="16">
        <f>IF(Augmented_Data!Q50="0 delivery charge",Augmented_Data!Z50-Augmented_Data!T50,Augmented_Data!Z50*(1-Augmented_Data!Q50))</f>
        <v>665.12</v>
      </c>
    </row>
    <row r="51" spans="1:27" x14ac:dyDescent="0.3">
      <c r="A51" s="11" t="s">
        <v>59</v>
      </c>
      <c r="B51" s="11" t="str">
        <f>_xlfn.CONCAT(Augmented_Data!$C51," ",Augmented_Data!$D51)</f>
        <v>Alexandra Smith</v>
      </c>
      <c r="C51" s="11" t="s">
        <v>156</v>
      </c>
      <c r="D51" s="11" t="s">
        <v>240</v>
      </c>
      <c r="E51" s="11">
        <v>70</v>
      </c>
      <c r="F51" s="11" t="s">
        <v>288</v>
      </c>
      <c r="G51" s="11" t="s">
        <v>291</v>
      </c>
      <c r="H51" s="11" t="s">
        <v>340</v>
      </c>
      <c r="I51" s="11" t="s">
        <v>440</v>
      </c>
      <c r="J51" s="11" t="s">
        <v>548</v>
      </c>
      <c r="K51" s="12">
        <v>45545</v>
      </c>
      <c r="L51" s="11" t="s">
        <v>1048</v>
      </c>
      <c r="M51" s="11" t="s">
        <v>1513</v>
      </c>
      <c r="N51" s="11">
        <v>20.7</v>
      </c>
      <c r="O51" s="11">
        <v>2</v>
      </c>
      <c r="P51" s="11" t="s">
        <v>1549</v>
      </c>
      <c r="Q51" s="11" t="str">
        <f>_xlfn.IFS(Augmented_Data!$P51="FLAT8","8%",Augmented_Data!$P51="FLAT10","10%",Augmented_Data!$P51="FLAT15","15%",Augmented_Data!$P51="FLAT20","20%",Augmented_Data!$P51="DEL0","0 delivery charge")</f>
        <v>10%</v>
      </c>
      <c r="R51" s="11">
        <v>2</v>
      </c>
      <c r="S51" s="11" t="str">
        <f>_xlfn.IFS(Augmented_Data!U51-Augmented_Data!K51=Augmented_Data!$R51,"Intime",Augmented_Data!U51-Augmented_Data!K51&lt;Augmented_Data!R51,"Before Time",Augmented_Data!U51-Augmented_Data!K51&gt;Augmented_Data!R51,"Late")</f>
        <v>Intime</v>
      </c>
      <c r="T51" s="11">
        <v>50</v>
      </c>
      <c r="U51" s="12">
        <v>45547</v>
      </c>
      <c r="V51" s="11">
        <f>DATEDIF(Augmented_Data!$K51,Augmented_Data!$U51,"D")</f>
        <v>2</v>
      </c>
      <c r="W51" s="11" t="s">
        <v>1600</v>
      </c>
      <c r="X51" s="11">
        <f>Augmented_Data!$Z51-Augmented_Data!$AA51</f>
        <v>9.14</v>
      </c>
      <c r="Y51" s="11">
        <f>Augmented_Data!$N51*Augmented_Data!$O51</f>
        <v>41.4</v>
      </c>
      <c r="Z51" s="11">
        <f>Augmented_Data!$Y51+Augmented_Data!$T51</f>
        <v>91.4</v>
      </c>
      <c r="AA51" s="13">
        <f>IF(Augmented_Data!Q51="0 delivery charge",Augmented_Data!Z51-Augmented_Data!T51,Augmented_Data!Z51*(1-Augmented_Data!Q51))</f>
        <v>82.26</v>
      </c>
    </row>
    <row r="52" spans="1:27" x14ac:dyDescent="0.3">
      <c r="A52" s="14" t="s">
        <v>53</v>
      </c>
      <c r="B52" s="14" t="str">
        <f>_xlfn.CONCAT(Augmented_Data!$C52," ",Augmented_Data!$D52)</f>
        <v>Donna Oneill</v>
      </c>
      <c r="C52" s="14" t="s">
        <v>151</v>
      </c>
      <c r="D52" s="14" t="s">
        <v>234</v>
      </c>
      <c r="E52" s="14">
        <v>70</v>
      </c>
      <c r="F52" s="14" t="s">
        <v>288</v>
      </c>
      <c r="G52" s="14" t="s">
        <v>297</v>
      </c>
      <c r="H52" s="14" t="s">
        <v>334</v>
      </c>
      <c r="I52" s="14" t="s">
        <v>434</v>
      </c>
      <c r="J52" s="14" t="s">
        <v>549</v>
      </c>
      <c r="K52" s="15">
        <v>45224</v>
      </c>
      <c r="L52" s="14" t="s">
        <v>1049</v>
      </c>
      <c r="M52" s="14" t="s">
        <v>1523</v>
      </c>
      <c r="N52" s="14">
        <v>129.75</v>
      </c>
      <c r="O52" s="14">
        <v>2</v>
      </c>
      <c r="P52" s="14" t="s">
        <v>1550</v>
      </c>
      <c r="Q52" s="14" t="str">
        <f>_xlfn.IFS(Augmented_Data!$P52="FLAT8","8%",Augmented_Data!$P52="FLAT10","10%",Augmented_Data!$P52="FLAT15","15%",Augmented_Data!$P52="FLAT20","20%",Augmented_Data!$P52="DEL0","0 delivery charge")</f>
        <v>20%</v>
      </c>
      <c r="R52" s="14">
        <v>5</v>
      </c>
      <c r="S52" s="14" t="str">
        <f>_xlfn.IFS(Augmented_Data!U52-Augmented_Data!K52=Augmented_Data!$R52,"Intime",Augmented_Data!U52-Augmented_Data!K52&lt;Augmented_Data!R52,"Before Time",Augmented_Data!U52-Augmented_Data!K52&gt;Augmented_Data!R52,"Late")</f>
        <v>Before Time</v>
      </c>
      <c r="T52" s="14">
        <v>42</v>
      </c>
      <c r="U52" s="15">
        <v>45227</v>
      </c>
      <c r="V52" s="14">
        <f>DATEDIF(Augmented_Data!$K52,Augmented_Data!$U52,"D")</f>
        <v>3</v>
      </c>
      <c r="W52" s="14" t="s">
        <v>1601</v>
      </c>
      <c r="X52" s="14">
        <f>Augmented_Data!$Z52-Augmented_Data!$AA52</f>
        <v>60.299999999999983</v>
      </c>
      <c r="Y52" s="14">
        <f>Augmented_Data!$N52*Augmented_Data!$O52</f>
        <v>259.5</v>
      </c>
      <c r="Z52" s="14">
        <f>Augmented_Data!$Y52+Augmented_Data!$T52</f>
        <v>301.5</v>
      </c>
      <c r="AA52" s="16">
        <f>IF(Augmented_Data!Q52="0 delivery charge",Augmented_Data!Z52-Augmented_Data!T52,Augmented_Data!Z52*(1-Augmented_Data!Q52))</f>
        <v>241.20000000000002</v>
      </c>
    </row>
    <row r="53" spans="1:27" x14ac:dyDescent="0.3">
      <c r="A53" s="11" t="s">
        <v>21</v>
      </c>
      <c r="B53" s="11" t="str">
        <f>_xlfn.CONCAT(Augmented_Data!$C53," ",Augmented_Data!$D53)</f>
        <v>John Ramirez</v>
      </c>
      <c r="C53" s="11" t="s">
        <v>121</v>
      </c>
      <c r="D53" s="11" t="s">
        <v>203</v>
      </c>
      <c r="E53" s="11">
        <v>28</v>
      </c>
      <c r="F53" s="11" t="s">
        <v>290</v>
      </c>
      <c r="G53" s="11" t="s">
        <v>294</v>
      </c>
      <c r="H53" s="11" t="s">
        <v>302</v>
      </c>
      <c r="I53" s="11" t="s">
        <v>402</v>
      </c>
      <c r="J53" s="11" t="s">
        <v>502</v>
      </c>
      <c r="K53" s="12">
        <v>45365</v>
      </c>
      <c r="L53" s="11" t="s">
        <v>1002</v>
      </c>
      <c r="M53" s="11" t="s">
        <v>1500</v>
      </c>
      <c r="N53" s="11">
        <v>44.5</v>
      </c>
      <c r="O53" s="11">
        <v>4</v>
      </c>
      <c r="P53" s="11" t="s">
        <v>2047</v>
      </c>
      <c r="Q53" s="11" t="str">
        <f>_xlfn.IFS(Augmented_Data!$P53="FLAT8","8%",Augmented_Data!$P53="FLAT10","10%",Augmented_Data!$P53="FLAT15","15%",Augmented_Data!$P53="FLAT20","20%",Augmented_Data!$P53="DEL0","0 delivery charge")</f>
        <v>8%</v>
      </c>
      <c r="R53" s="11">
        <v>2</v>
      </c>
      <c r="S53" s="11" t="str">
        <f>_xlfn.IFS(Augmented_Data!U53-Augmented_Data!K53=Augmented_Data!$R53,"Intime",Augmented_Data!U53-Augmented_Data!K53&lt;Augmented_Data!R53,"Before Time",Augmented_Data!U53-Augmented_Data!K53&gt;Augmented_Data!R53,"Late")</f>
        <v>Late</v>
      </c>
      <c r="T53" s="11">
        <v>40</v>
      </c>
      <c r="U53" s="12">
        <v>45368</v>
      </c>
      <c r="V53" s="11">
        <f>DATEDIF(Augmented_Data!$K53,Augmented_Data!$U53,"D")</f>
        <v>3</v>
      </c>
      <c r="W53" s="11" t="s">
        <v>1554</v>
      </c>
      <c r="X53" s="11">
        <f>Augmented_Data!$Z53-Augmented_Data!$AA53</f>
        <v>17.439999999999998</v>
      </c>
      <c r="Y53" s="11">
        <f>Augmented_Data!$N53*Augmented_Data!$O53</f>
        <v>178</v>
      </c>
      <c r="Z53" s="11">
        <f>Augmented_Data!$Y53+Augmented_Data!$T53</f>
        <v>218</v>
      </c>
      <c r="AA53" s="13">
        <f>IF(Augmented_Data!Q53="0 delivery charge",Augmented_Data!Z53-Augmented_Data!T53,Augmented_Data!Z53*(1-Augmented_Data!Q53))</f>
        <v>200.56</v>
      </c>
    </row>
    <row r="54" spans="1:27" x14ac:dyDescent="0.3">
      <c r="A54" s="14" t="s">
        <v>60</v>
      </c>
      <c r="B54" s="14" t="str">
        <f>_xlfn.CONCAT(Augmented_Data!$C54," ",Augmented_Data!$D54)</f>
        <v>Amanda Howard</v>
      </c>
      <c r="C54" s="14" t="s">
        <v>157</v>
      </c>
      <c r="D54" s="14" t="s">
        <v>241</v>
      </c>
      <c r="E54" s="14">
        <v>52</v>
      </c>
      <c r="F54" s="14" t="s">
        <v>290</v>
      </c>
      <c r="G54" s="14" t="s">
        <v>298</v>
      </c>
      <c r="H54" s="14" t="s">
        <v>341</v>
      </c>
      <c r="I54" s="14" t="s">
        <v>441</v>
      </c>
      <c r="J54" s="14" t="s">
        <v>551</v>
      </c>
      <c r="K54" s="15">
        <v>45145</v>
      </c>
      <c r="L54" s="14" t="s">
        <v>1051</v>
      </c>
      <c r="M54" s="14" t="s">
        <v>1529</v>
      </c>
      <c r="N54" s="14">
        <v>128.13999999999999</v>
      </c>
      <c r="O54" s="14">
        <v>5</v>
      </c>
      <c r="P54" s="14" t="s">
        <v>1548</v>
      </c>
      <c r="Q54" s="14" t="str">
        <f>_xlfn.IFS(Augmented_Data!$P54="FLAT8","8%",Augmented_Data!$P54="FLAT10","10%",Augmented_Data!$P54="FLAT15","15%",Augmented_Data!$P54="FLAT20","20%",Augmented_Data!$P54="DEL0","0 delivery charge")</f>
        <v>15%</v>
      </c>
      <c r="R54" s="14">
        <v>2</v>
      </c>
      <c r="S54" s="14" t="str">
        <f>_xlfn.IFS(Augmented_Data!U54-Augmented_Data!K54=Augmented_Data!$R54,"Intime",Augmented_Data!U54-Augmented_Data!K54&lt;Augmented_Data!R54,"Before Time",Augmented_Data!U54-Augmented_Data!K54&gt;Augmented_Data!R54,"Late")</f>
        <v>Intime</v>
      </c>
      <c r="T54" s="14">
        <v>57</v>
      </c>
      <c r="U54" s="15">
        <v>45147</v>
      </c>
      <c r="V54" s="14">
        <f>DATEDIF(Augmented_Data!$K54,Augmented_Data!$U54,"D")</f>
        <v>2</v>
      </c>
      <c r="W54" s="14" t="s">
        <v>1603</v>
      </c>
      <c r="X54" s="14">
        <f>Augmented_Data!$Z54-Augmented_Data!$AA54</f>
        <v>104.65499999999997</v>
      </c>
      <c r="Y54" s="14">
        <f>Augmented_Data!$N54*Augmented_Data!$O54</f>
        <v>640.69999999999993</v>
      </c>
      <c r="Z54" s="14">
        <f>Augmented_Data!$Y54+Augmented_Data!$T54</f>
        <v>697.69999999999993</v>
      </c>
      <c r="AA54" s="16">
        <f>IF(Augmented_Data!Q54="0 delivery charge",Augmented_Data!Z54-Augmented_Data!T54,Augmented_Data!Z54*(1-Augmented_Data!Q54))</f>
        <v>593.04499999999996</v>
      </c>
    </row>
    <row r="55" spans="1:27" x14ac:dyDescent="0.3">
      <c r="A55" s="11" t="s">
        <v>49</v>
      </c>
      <c r="B55" s="11" t="str">
        <f>_xlfn.CONCAT(Augmented_Data!$C55," ",Augmented_Data!$D55)</f>
        <v>Valerie Carr</v>
      </c>
      <c r="C55" s="11" t="s">
        <v>147</v>
      </c>
      <c r="D55" s="11" t="s">
        <v>230</v>
      </c>
      <c r="E55" s="11">
        <v>26</v>
      </c>
      <c r="F55" s="11" t="s">
        <v>290</v>
      </c>
      <c r="G55" s="11" t="s">
        <v>297</v>
      </c>
      <c r="H55" s="11" t="s">
        <v>330</v>
      </c>
      <c r="I55" s="11" t="s">
        <v>430</v>
      </c>
      <c r="J55" s="11" t="s">
        <v>552</v>
      </c>
      <c r="K55" s="12">
        <v>45312</v>
      </c>
      <c r="L55" s="11" t="s">
        <v>1052</v>
      </c>
      <c r="M55" s="11" t="s">
        <v>1530</v>
      </c>
      <c r="N55" s="11">
        <v>369.03</v>
      </c>
      <c r="O55" s="11">
        <v>2</v>
      </c>
      <c r="P55" s="11" t="s">
        <v>1549</v>
      </c>
      <c r="Q55" s="11" t="str">
        <f>_xlfn.IFS(Augmented_Data!$P55="FLAT8","8%",Augmented_Data!$P55="FLAT10","10%",Augmented_Data!$P55="FLAT15","15%",Augmented_Data!$P55="FLAT20","20%",Augmented_Data!$P55="DEL0","0 delivery charge")</f>
        <v>10%</v>
      </c>
      <c r="R55" s="11">
        <v>4</v>
      </c>
      <c r="S55" s="11" t="str">
        <f>_xlfn.IFS(Augmented_Data!U55-Augmented_Data!K55=Augmented_Data!$R55,"Intime",Augmented_Data!U55-Augmented_Data!K55&lt;Augmented_Data!R55,"Before Time",Augmented_Data!U55-Augmented_Data!K55&gt;Augmented_Data!R55,"Late")</f>
        <v>Late</v>
      </c>
      <c r="T55" s="11">
        <v>46</v>
      </c>
      <c r="U55" s="12">
        <v>45318</v>
      </c>
      <c r="V55" s="11">
        <f>DATEDIF(Augmented_Data!$K55,Augmented_Data!$U55,"D")</f>
        <v>6</v>
      </c>
      <c r="W55" s="11" t="s">
        <v>1604</v>
      </c>
      <c r="X55" s="11">
        <f>Augmented_Data!$Z55-Augmented_Data!$AA55</f>
        <v>78.405999999999949</v>
      </c>
      <c r="Y55" s="11">
        <f>Augmented_Data!$N55*Augmented_Data!$O55</f>
        <v>738.06</v>
      </c>
      <c r="Z55" s="11">
        <f>Augmented_Data!$Y55+Augmented_Data!$T55</f>
        <v>784.06</v>
      </c>
      <c r="AA55" s="13">
        <f>IF(Augmented_Data!Q55="0 delivery charge",Augmented_Data!Z55-Augmented_Data!T55,Augmented_Data!Z55*(1-Augmented_Data!Q55))</f>
        <v>705.654</v>
      </c>
    </row>
    <row r="56" spans="1:27" x14ac:dyDescent="0.3">
      <c r="A56" s="14" t="s">
        <v>21</v>
      </c>
      <c r="B56" s="14" t="str">
        <f>_xlfn.CONCAT(Augmented_Data!$C56," ",Augmented_Data!$D56)</f>
        <v>John Ramirez</v>
      </c>
      <c r="C56" s="14" t="s">
        <v>121</v>
      </c>
      <c r="D56" s="14" t="s">
        <v>203</v>
      </c>
      <c r="E56" s="14">
        <v>28</v>
      </c>
      <c r="F56" s="14" t="s">
        <v>290</v>
      </c>
      <c r="G56" s="14" t="s">
        <v>294</v>
      </c>
      <c r="H56" s="14" t="s">
        <v>302</v>
      </c>
      <c r="I56" s="14" t="s">
        <v>402</v>
      </c>
      <c r="J56" s="14" t="s">
        <v>550</v>
      </c>
      <c r="K56" s="15">
        <v>45599</v>
      </c>
      <c r="L56" s="14" t="s">
        <v>1050</v>
      </c>
      <c r="M56" s="14" t="s">
        <v>1503</v>
      </c>
      <c r="N56" s="14">
        <v>363.64</v>
      </c>
      <c r="O56" s="14">
        <v>1</v>
      </c>
      <c r="P56" s="14" t="s">
        <v>1549</v>
      </c>
      <c r="Q56" s="14" t="str">
        <f>_xlfn.IFS(Augmented_Data!$P56="FLAT8","8%",Augmented_Data!$P56="FLAT10","10%",Augmented_Data!$P56="FLAT15","15%",Augmented_Data!$P56="FLAT20","20%",Augmented_Data!$P56="DEL0","0 delivery charge")</f>
        <v>10%</v>
      </c>
      <c r="R56" s="14">
        <v>3</v>
      </c>
      <c r="S56" s="14" t="str">
        <f>_xlfn.IFS(Augmented_Data!U56-Augmented_Data!K56=Augmented_Data!$R56,"Intime",Augmented_Data!U56-Augmented_Data!K56&lt;Augmented_Data!R56,"Before Time",Augmented_Data!U56-Augmented_Data!K56&gt;Augmented_Data!R56,"Late")</f>
        <v>Late</v>
      </c>
      <c r="T56" s="14">
        <v>70</v>
      </c>
      <c r="U56" s="15">
        <v>45606</v>
      </c>
      <c r="V56" s="14">
        <f>DATEDIF(Augmented_Data!$K56,Augmented_Data!$U56,"D")</f>
        <v>7</v>
      </c>
      <c r="W56" s="14" t="s">
        <v>1602</v>
      </c>
      <c r="X56" s="14">
        <f>Augmented_Data!$Z56-Augmented_Data!$AA56</f>
        <v>43.363999999999976</v>
      </c>
      <c r="Y56" s="14">
        <f>Augmented_Data!$N56*Augmented_Data!$O56</f>
        <v>363.64</v>
      </c>
      <c r="Z56" s="14">
        <f>Augmented_Data!$Y56+Augmented_Data!$T56</f>
        <v>433.64</v>
      </c>
      <c r="AA56" s="16">
        <f>IF(Augmented_Data!Q56="0 delivery charge",Augmented_Data!Z56-Augmented_Data!T56,Augmented_Data!Z56*(1-Augmented_Data!Q56))</f>
        <v>390.27600000000001</v>
      </c>
    </row>
    <row r="57" spans="1:27" x14ac:dyDescent="0.3">
      <c r="A57" s="11" t="s">
        <v>61</v>
      </c>
      <c r="B57" s="11" t="str">
        <f>_xlfn.CONCAT(Augmented_Data!$C57," ",Augmented_Data!$D57)</f>
        <v>Mary Knight</v>
      </c>
      <c r="C57" s="11" t="s">
        <v>158</v>
      </c>
      <c r="D57" s="11" t="s">
        <v>242</v>
      </c>
      <c r="E57" s="11">
        <v>28</v>
      </c>
      <c r="F57" s="11" t="s">
        <v>290</v>
      </c>
      <c r="G57" s="11" t="s">
        <v>295</v>
      </c>
      <c r="H57" s="11" t="s">
        <v>342</v>
      </c>
      <c r="I57" s="11" t="s">
        <v>442</v>
      </c>
      <c r="J57" s="11" t="s">
        <v>554</v>
      </c>
      <c r="K57" s="12">
        <v>45229</v>
      </c>
      <c r="L57" s="11" t="s">
        <v>1054</v>
      </c>
      <c r="M57" s="11" t="s">
        <v>1526</v>
      </c>
      <c r="N57" s="11">
        <v>405</v>
      </c>
      <c r="O57" s="11">
        <v>1</v>
      </c>
      <c r="P57" s="11" t="s">
        <v>1547</v>
      </c>
      <c r="Q57" s="11" t="str">
        <f>_xlfn.IFS(Augmented_Data!$P57="FLAT8","8%",Augmented_Data!$P57="FLAT10","10%",Augmented_Data!$P57="FLAT15","15%",Augmented_Data!$P57="FLAT20","20%",Augmented_Data!$P57="DEL0","0 delivery charge")</f>
        <v>0 delivery charge</v>
      </c>
      <c r="R57" s="11">
        <v>5</v>
      </c>
      <c r="S57" s="11" t="str">
        <f>_xlfn.IFS(Augmented_Data!U57-Augmented_Data!K57=Augmented_Data!$R57,"Intime",Augmented_Data!U57-Augmented_Data!K57&lt;Augmented_Data!R57,"Before Time",Augmented_Data!U57-Augmented_Data!K57&gt;Augmented_Data!R57,"Late")</f>
        <v>Before Time</v>
      </c>
      <c r="T57" s="11">
        <v>44</v>
      </c>
      <c r="U57" s="12">
        <v>45233</v>
      </c>
      <c r="V57" s="11">
        <f>DATEDIF(Augmented_Data!$K57,Augmented_Data!$U57,"D")</f>
        <v>4</v>
      </c>
      <c r="W57" s="11" t="s">
        <v>1606</v>
      </c>
      <c r="X57" s="11">
        <f>Augmented_Data!$Z57-Augmented_Data!$AA57</f>
        <v>44</v>
      </c>
      <c r="Y57" s="11">
        <f>Augmented_Data!$N57*Augmented_Data!$O57</f>
        <v>405</v>
      </c>
      <c r="Z57" s="11">
        <f>Augmented_Data!$Y57+Augmented_Data!$T57</f>
        <v>449</v>
      </c>
      <c r="AA57" s="13">
        <f>IF(Augmented_Data!Q57="0 delivery charge",Augmented_Data!Z57-Augmented_Data!T57,Augmented_Data!Z57*(1-Augmented_Data!Q57))</f>
        <v>405</v>
      </c>
    </row>
    <row r="58" spans="1:27" x14ac:dyDescent="0.3">
      <c r="A58" s="14" t="s">
        <v>62</v>
      </c>
      <c r="B58" s="14" t="str">
        <f>_xlfn.CONCAT(Augmented_Data!$C58," ",Augmented_Data!$D58)</f>
        <v>Marcus Rogers</v>
      </c>
      <c r="C58" s="14" t="s">
        <v>126</v>
      </c>
      <c r="D58" s="14" t="s">
        <v>243</v>
      </c>
      <c r="E58" s="14">
        <v>36</v>
      </c>
      <c r="F58" s="14" t="s">
        <v>289</v>
      </c>
      <c r="G58" s="14" t="s">
        <v>291</v>
      </c>
      <c r="H58" s="14" t="s">
        <v>343</v>
      </c>
      <c r="I58" s="14" t="s">
        <v>443</v>
      </c>
      <c r="J58" s="14" t="s">
        <v>555</v>
      </c>
      <c r="K58" s="15">
        <v>45149</v>
      </c>
      <c r="L58" s="14" t="s">
        <v>1055</v>
      </c>
      <c r="M58" s="14" t="s">
        <v>1520</v>
      </c>
      <c r="N58" s="14">
        <v>62.42</v>
      </c>
      <c r="O58" s="14">
        <v>2</v>
      </c>
      <c r="P58" s="14" t="s">
        <v>1548</v>
      </c>
      <c r="Q58" s="14" t="str">
        <f>_xlfn.IFS(Augmented_Data!$P58="FLAT8","8%",Augmented_Data!$P58="FLAT10","10%",Augmented_Data!$P58="FLAT15","15%",Augmented_Data!$P58="FLAT20","20%",Augmented_Data!$P58="DEL0","0 delivery charge")</f>
        <v>15%</v>
      </c>
      <c r="R58" s="14">
        <v>1</v>
      </c>
      <c r="S58" s="14" t="str">
        <f>_xlfn.IFS(Augmented_Data!U58-Augmented_Data!K58=Augmented_Data!$R58,"Intime",Augmented_Data!U58-Augmented_Data!K58&lt;Augmented_Data!R58,"Before Time",Augmented_Data!U58-Augmented_Data!K58&gt;Augmented_Data!R58,"Late")</f>
        <v>Late</v>
      </c>
      <c r="T58" s="14">
        <v>53</v>
      </c>
      <c r="U58" s="15">
        <v>45154</v>
      </c>
      <c r="V58" s="14">
        <f>DATEDIF(Augmented_Data!$K58,Augmented_Data!$U58,"D")</f>
        <v>5</v>
      </c>
      <c r="W58" s="14" t="s">
        <v>1607</v>
      </c>
      <c r="X58" s="14">
        <f>Augmented_Data!$Z58-Augmented_Data!$AA58</f>
        <v>26.676000000000016</v>
      </c>
      <c r="Y58" s="14">
        <f>Augmented_Data!$N58*Augmented_Data!$O58</f>
        <v>124.84</v>
      </c>
      <c r="Z58" s="14">
        <f>Augmented_Data!$Y58+Augmented_Data!$T58</f>
        <v>177.84</v>
      </c>
      <c r="AA58" s="16">
        <f>IF(Augmented_Data!Q58="0 delivery charge",Augmented_Data!Z58-Augmented_Data!T58,Augmented_Data!Z58*(1-Augmented_Data!Q58))</f>
        <v>151.16399999999999</v>
      </c>
    </row>
    <row r="59" spans="1:27" x14ac:dyDescent="0.3">
      <c r="A59" s="11" t="s">
        <v>85</v>
      </c>
      <c r="B59" s="11" t="str">
        <f>_xlfn.CONCAT(Augmented_Data!$C59," ",Augmented_Data!$D59)</f>
        <v>Brian Kennedy</v>
      </c>
      <c r="C59" s="11" t="s">
        <v>175</v>
      </c>
      <c r="D59" s="11" t="s">
        <v>262</v>
      </c>
      <c r="E59" s="11">
        <v>69</v>
      </c>
      <c r="F59" s="11" t="s">
        <v>288</v>
      </c>
      <c r="G59" s="11" t="s">
        <v>291</v>
      </c>
      <c r="H59" s="11" t="s">
        <v>366</v>
      </c>
      <c r="I59" s="11" t="s">
        <v>466</v>
      </c>
      <c r="J59" s="11" t="s">
        <v>602</v>
      </c>
      <c r="K59" s="12">
        <v>45213</v>
      </c>
      <c r="L59" s="11" t="s">
        <v>1102</v>
      </c>
      <c r="M59" s="11" t="s">
        <v>1513</v>
      </c>
      <c r="N59" s="11">
        <v>20.7</v>
      </c>
      <c r="O59" s="11">
        <v>5</v>
      </c>
      <c r="P59" s="11" t="s">
        <v>1548</v>
      </c>
      <c r="Q59" s="11" t="str">
        <f>_xlfn.IFS(Augmented_Data!$P59="FLAT8","8%",Augmented_Data!$P59="FLAT10","10%",Augmented_Data!$P59="FLAT15","15%",Augmented_Data!$P59="FLAT20","20%",Augmented_Data!$P59="DEL0","0 delivery charge")</f>
        <v>15%</v>
      </c>
      <c r="R59" s="11">
        <v>7</v>
      </c>
      <c r="S59" s="11" t="str">
        <f>_xlfn.IFS(Augmented_Data!U59-Augmented_Data!K59=Augmented_Data!$R59,"Intime",Augmented_Data!U59-Augmented_Data!K59&lt;Augmented_Data!R59,"Before Time",Augmented_Data!U59-Augmented_Data!K59&gt;Augmented_Data!R59,"Late")</f>
        <v>Before Time</v>
      </c>
      <c r="T59" s="11">
        <v>57</v>
      </c>
      <c r="U59" s="12">
        <v>45218</v>
      </c>
      <c r="V59" s="11">
        <f>DATEDIF(Augmented_Data!$K59,Augmented_Data!$U59,"D")</f>
        <v>5</v>
      </c>
      <c r="W59" s="11" t="s">
        <v>1654</v>
      </c>
      <c r="X59" s="11">
        <f>Augmented_Data!$Z59-Augmented_Data!$AA59</f>
        <v>24.075000000000017</v>
      </c>
      <c r="Y59" s="11">
        <f>Augmented_Data!$N59*Augmented_Data!$O59</f>
        <v>103.5</v>
      </c>
      <c r="Z59" s="11">
        <f>Augmented_Data!$Y59+Augmented_Data!$T59</f>
        <v>160.5</v>
      </c>
      <c r="AA59" s="13">
        <f>IF(Augmented_Data!Q59="0 delivery charge",Augmented_Data!Z59-Augmented_Data!T59,Augmented_Data!Z59*(1-Augmented_Data!Q59))</f>
        <v>136.42499999999998</v>
      </c>
    </row>
    <row r="60" spans="1:27" x14ac:dyDescent="0.3">
      <c r="A60" s="14" t="s">
        <v>64</v>
      </c>
      <c r="B60" s="14" t="str">
        <f>_xlfn.CONCAT(Augmented_Data!$C60," ",Augmented_Data!$D60)</f>
        <v>Rebecca Figueroa</v>
      </c>
      <c r="C60" s="14" t="s">
        <v>159</v>
      </c>
      <c r="D60" s="14" t="s">
        <v>245</v>
      </c>
      <c r="E60" s="14">
        <v>63</v>
      </c>
      <c r="F60" s="14" t="s">
        <v>288</v>
      </c>
      <c r="G60" s="14" t="s">
        <v>294</v>
      </c>
      <c r="H60" s="14" t="s">
        <v>345</v>
      </c>
      <c r="I60" s="14" t="s">
        <v>445</v>
      </c>
      <c r="J60" s="14" t="s">
        <v>557</v>
      </c>
      <c r="K60" s="15">
        <v>45655</v>
      </c>
      <c r="L60" s="14" t="s">
        <v>1057</v>
      </c>
      <c r="M60" s="14" t="s">
        <v>1503</v>
      </c>
      <c r="N60" s="14">
        <v>363.64</v>
      </c>
      <c r="O60" s="14">
        <v>3</v>
      </c>
      <c r="P60" s="14" t="s">
        <v>1549</v>
      </c>
      <c r="Q60" s="14" t="str">
        <f>_xlfn.IFS(Augmented_Data!$P60="FLAT8","8%",Augmented_Data!$P60="FLAT10","10%",Augmented_Data!$P60="FLAT15","15%",Augmented_Data!$P60="FLAT20","20%",Augmented_Data!$P60="DEL0","0 delivery charge")</f>
        <v>10%</v>
      </c>
      <c r="R60" s="14">
        <v>6</v>
      </c>
      <c r="S60" s="14" t="str">
        <f>_xlfn.IFS(Augmented_Data!U60-Augmented_Data!K60=Augmented_Data!$R60,"Intime",Augmented_Data!U60-Augmented_Data!K60&lt;Augmented_Data!R60,"Before Time",Augmented_Data!U60-Augmented_Data!K60&gt;Augmented_Data!R60,"Late")</f>
        <v>Late</v>
      </c>
      <c r="T60" s="14">
        <v>69</v>
      </c>
      <c r="U60" s="15">
        <v>45662</v>
      </c>
      <c r="V60" s="14">
        <f>DATEDIF(Augmented_Data!$K60,Augmented_Data!$U60,"D")</f>
        <v>7</v>
      </c>
      <c r="W60" s="14" t="s">
        <v>1609</v>
      </c>
      <c r="X60" s="14">
        <f>Augmented_Data!$Z60-Augmented_Data!$AA60</f>
        <v>115.99199999999996</v>
      </c>
      <c r="Y60" s="14">
        <f>Augmented_Data!$N60*Augmented_Data!$O60</f>
        <v>1090.92</v>
      </c>
      <c r="Z60" s="14">
        <f>Augmented_Data!$Y60+Augmented_Data!$T60</f>
        <v>1159.92</v>
      </c>
      <c r="AA60" s="16">
        <f>IF(Augmented_Data!Q60="0 delivery charge",Augmented_Data!Z60-Augmented_Data!T60,Augmented_Data!Z60*(1-Augmented_Data!Q60))</f>
        <v>1043.9280000000001</v>
      </c>
    </row>
    <row r="61" spans="1:27" x14ac:dyDescent="0.3">
      <c r="A61" s="11" t="s">
        <v>65</v>
      </c>
      <c r="B61" s="11" t="str">
        <f>_xlfn.CONCAT(Augmented_Data!$C61," ",Augmented_Data!$D61)</f>
        <v>Lori Cook</v>
      </c>
      <c r="C61" s="11" t="s">
        <v>160</v>
      </c>
      <c r="D61" s="11" t="s">
        <v>246</v>
      </c>
      <c r="E61" s="11">
        <v>18</v>
      </c>
      <c r="F61" s="11" t="s">
        <v>289</v>
      </c>
      <c r="G61" s="11" t="s">
        <v>292</v>
      </c>
      <c r="H61" s="11" t="s">
        <v>346</v>
      </c>
      <c r="I61" s="11" t="s">
        <v>446</v>
      </c>
      <c r="J61" s="11" t="s">
        <v>558</v>
      </c>
      <c r="K61" s="12">
        <v>44972</v>
      </c>
      <c r="L61" s="11" t="s">
        <v>1058</v>
      </c>
      <c r="M61" s="11" t="s">
        <v>1531</v>
      </c>
      <c r="N61" s="11">
        <v>286.07</v>
      </c>
      <c r="O61" s="11">
        <v>3</v>
      </c>
      <c r="P61" s="11" t="s">
        <v>1550</v>
      </c>
      <c r="Q61" s="11" t="str">
        <f>_xlfn.IFS(Augmented_Data!$P61="FLAT8","8%",Augmented_Data!$P61="FLAT10","10%",Augmented_Data!$P61="FLAT15","15%",Augmented_Data!$P61="FLAT20","20%",Augmented_Data!$P61="DEL0","0 delivery charge")</f>
        <v>20%</v>
      </c>
      <c r="R61" s="11">
        <v>2</v>
      </c>
      <c r="S61" s="11" t="str">
        <f>_xlfn.IFS(Augmented_Data!U61-Augmented_Data!K61=Augmented_Data!$R61,"Intime",Augmented_Data!U61-Augmented_Data!K61&lt;Augmented_Data!R61,"Before Time",Augmented_Data!U61-Augmented_Data!K61&gt;Augmented_Data!R61,"Late")</f>
        <v>Late</v>
      </c>
      <c r="T61" s="11">
        <v>54</v>
      </c>
      <c r="U61" s="12">
        <v>44977</v>
      </c>
      <c r="V61" s="11">
        <f>DATEDIF(Augmented_Data!$K61,Augmented_Data!$U61,"D")</f>
        <v>5</v>
      </c>
      <c r="W61" s="11" t="s">
        <v>1610</v>
      </c>
      <c r="X61" s="11">
        <f>Augmented_Data!$Z61-Augmented_Data!$AA61</f>
        <v>182.44200000000001</v>
      </c>
      <c r="Y61" s="11">
        <f>Augmented_Data!$N61*Augmented_Data!$O61</f>
        <v>858.21</v>
      </c>
      <c r="Z61" s="11">
        <f>Augmented_Data!$Y61+Augmented_Data!$T61</f>
        <v>912.21</v>
      </c>
      <c r="AA61" s="13">
        <f>IF(Augmented_Data!Q61="0 delivery charge",Augmented_Data!Z61-Augmented_Data!T61,Augmented_Data!Z61*(1-Augmented_Data!Q61))</f>
        <v>729.76800000000003</v>
      </c>
    </row>
    <row r="62" spans="1:27" x14ac:dyDescent="0.3">
      <c r="A62" s="14" t="s">
        <v>66</v>
      </c>
      <c r="B62" s="14" t="str">
        <f>_xlfn.CONCAT(Augmented_Data!$C62," ",Augmented_Data!$D62)</f>
        <v>Debra Hayes</v>
      </c>
      <c r="C62" s="14" t="s">
        <v>127</v>
      </c>
      <c r="D62" s="14" t="s">
        <v>247</v>
      </c>
      <c r="E62" s="14">
        <v>33</v>
      </c>
      <c r="F62" s="14" t="s">
        <v>288</v>
      </c>
      <c r="G62" s="14" t="s">
        <v>297</v>
      </c>
      <c r="H62" s="14" t="s">
        <v>347</v>
      </c>
      <c r="I62" s="14" t="s">
        <v>447</v>
      </c>
      <c r="J62" s="14" t="s">
        <v>559</v>
      </c>
      <c r="K62" s="15">
        <v>45435</v>
      </c>
      <c r="L62" s="14" t="s">
        <v>1059</v>
      </c>
      <c r="M62" s="14" t="s">
        <v>1532</v>
      </c>
      <c r="N62" s="14">
        <v>87.09</v>
      </c>
      <c r="O62" s="14">
        <v>4</v>
      </c>
      <c r="P62" s="14" t="s">
        <v>1547</v>
      </c>
      <c r="Q62" s="14" t="str">
        <f>_xlfn.IFS(Augmented_Data!$P62="FLAT8","8%",Augmented_Data!$P62="FLAT10","10%",Augmented_Data!$P62="FLAT15","15%",Augmented_Data!$P62="FLAT20","20%",Augmented_Data!$P62="DEL0","0 delivery charge")</f>
        <v>0 delivery charge</v>
      </c>
      <c r="R62" s="14">
        <v>6</v>
      </c>
      <c r="S62" s="14" t="str">
        <f>_xlfn.IFS(Augmented_Data!U62-Augmented_Data!K62=Augmented_Data!$R62,"Intime",Augmented_Data!U62-Augmented_Data!K62&lt;Augmented_Data!R62,"Before Time",Augmented_Data!U62-Augmented_Data!K62&gt;Augmented_Data!R62,"Late")</f>
        <v>Before Time</v>
      </c>
      <c r="T62" s="14">
        <v>63</v>
      </c>
      <c r="U62" s="15">
        <v>45439</v>
      </c>
      <c r="V62" s="14">
        <f>DATEDIF(Augmented_Data!$K62,Augmented_Data!$U62,"D")</f>
        <v>4</v>
      </c>
      <c r="W62" s="14" t="s">
        <v>1611</v>
      </c>
      <c r="X62" s="14">
        <f>Augmented_Data!$Z62-Augmented_Data!$AA62</f>
        <v>63</v>
      </c>
      <c r="Y62" s="14">
        <f>Augmented_Data!$N62*Augmented_Data!$O62</f>
        <v>348.36</v>
      </c>
      <c r="Z62" s="14">
        <f>Augmented_Data!$Y62+Augmented_Data!$T62</f>
        <v>411.36</v>
      </c>
      <c r="AA62" s="16">
        <f>IF(Augmented_Data!Q62="0 delivery charge",Augmented_Data!Z62-Augmented_Data!T62,Augmented_Data!Z62*(1-Augmented_Data!Q62))</f>
        <v>348.36</v>
      </c>
    </row>
    <row r="63" spans="1:27" x14ac:dyDescent="0.3">
      <c r="A63" s="11" t="s">
        <v>67</v>
      </c>
      <c r="B63" s="11" t="str">
        <f>_xlfn.CONCAT(Augmented_Data!$C63," ",Augmented_Data!$D63)</f>
        <v>Brittany Stewart</v>
      </c>
      <c r="C63" s="11" t="s">
        <v>161</v>
      </c>
      <c r="D63" s="11" t="s">
        <v>211</v>
      </c>
      <c r="E63" s="11">
        <v>68</v>
      </c>
      <c r="F63" s="11" t="s">
        <v>290</v>
      </c>
      <c r="G63" s="11" t="s">
        <v>298</v>
      </c>
      <c r="H63" s="11" t="s">
        <v>348</v>
      </c>
      <c r="I63" s="11" t="s">
        <v>448</v>
      </c>
      <c r="J63" s="11" t="s">
        <v>560</v>
      </c>
      <c r="K63" s="12">
        <v>45002</v>
      </c>
      <c r="L63" s="11" t="s">
        <v>1060</v>
      </c>
      <c r="M63" s="11" t="s">
        <v>1504</v>
      </c>
      <c r="N63" s="11">
        <v>275.44</v>
      </c>
      <c r="O63" s="11">
        <v>4</v>
      </c>
      <c r="P63" s="11" t="s">
        <v>2047</v>
      </c>
      <c r="Q63" s="11" t="str">
        <f>_xlfn.IFS(Augmented_Data!$P63="FLAT8","8%",Augmented_Data!$P63="FLAT10","10%",Augmented_Data!$P63="FLAT15","15%",Augmented_Data!$P63="FLAT20","20%",Augmented_Data!$P63="DEL0","0 delivery charge")</f>
        <v>8%</v>
      </c>
      <c r="R63" s="11">
        <v>4</v>
      </c>
      <c r="S63" s="11" t="str">
        <f>_xlfn.IFS(Augmented_Data!U63-Augmented_Data!K63=Augmented_Data!$R63,"Intime",Augmented_Data!U63-Augmented_Data!K63&lt;Augmented_Data!R63,"Before Time",Augmented_Data!U63-Augmented_Data!K63&gt;Augmented_Data!R63,"Late")</f>
        <v>Late</v>
      </c>
      <c r="T63" s="11">
        <v>40</v>
      </c>
      <c r="U63" s="12">
        <v>45007</v>
      </c>
      <c r="V63" s="11">
        <f>DATEDIF(Augmented_Data!$K63,Augmented_Data!$U63,"D")</f>
        <v>5</v>
      </c>
      <c r="W63" s="11" t="s">
        <v>1612</v>
      </c>
      <c r="X63" s="11">
        <f>Augmented_Data!$Z63-Augmented_Data!$AA63</f>
        <v>91.340799999999945</v>
      </c>
      <c r="Y63" s="11">
        <f>Augmented_Data!$N63*Augmented_Data!$O63</f>
        <v>1101.76</v>
      </c>
      <c r="Z63" s="11">
        <f>Augmented_Data!$Y63+Augmented_Data!$T63</f>
        <v>1141.76</v>
      </c>
      <c r="AA63" s="13">
        <f>IF(Augmented_Data!Q63="0 delivery charge",Augmented_Data!Z63-Augmented_Data!T63,Augmented_Data!Z63*(1-Augmented_Data!Q63))</f>
        <v>1050.4192</v>
      </c>
    </row>
    <row r="64" spans="1:27" x14ac:dyDescent="0.3">
      <c r="A64" s="14" t="s">
        <v>68</v>
      </c>
      <c r="B64" s="14" t="str">
        <f>_xlfn.CONCAT(Augmented_Data!$C64," ",Augmented_Data!$D64)</f>
        <v>Mitchell Parker</v>
      </c>
      <c r="C64" s="14" t="s">
        <v>162</v>
      </c>
      <c r="D64" s="14" t="s">
        <v>232</v>
      </c>
      <c r="E64" s="14">
        <v>39</v>
      </c>
      <c r="F64" s="14" t="s">
        <v>290</v>
      </c>
      <c r="G64" s="14" t="s">
        <v>292</v>
      </c>
      <c r="H64" s="14" t="s">
        <v>349</v>
      </c>
      <c r="I64" s="14" t="s">
        <v>449</v>
      </c>
      <c r="J64" s="14" t="s">
        <v>561</v>
      </c>
      <c r="K64" s="15">
        <v>45680</v>
      </c>
      <c r="L64" s="14" t="s">
        <v>1061</v>
      </c>
      <c r="M64" s="14" t="s">
        <v>1519</v>
      </c>
      <c r="N64" s="14">
        <v>421.7</v>
      </c>
      <c r="O64" s="14">
        <v>1</v>
      </c>
      <c r="P64" s="14" t="s">
        <v>1549</v>
      </c>
      <c r="Q64" s="14" t="str">
        <f>_xlfn.IFS(Augmented_Data!$P64="FLAT8","8%",Augmented_Data!$P64="FLAT10","10%",Augmented_Data!$P64="FLAT15","15%",Augmented_Data!$P64="FLAT20","20%",Augmented_Data!$P64="DEL0","0 delivery charge")</f>
        <v>10%</v>
      </c>
      <c r="R64" s="14">
        <v>3</v>
      </c>
      <c r="S64" s="14" t="str">
        <f>_xlfn.IFS(Augmented_Data!U64-Augmented_Data!K64=Augmented_Data!$R64,"Intime",Augmented_Data!U64-Augmented_Data!K64&lt;Augmented_Data!R64,"Before Time",Augmented_Data!U64-Augmented_Data!K64&gt;Augmented_Data!R64,"Late")</f>
        <v>Late</v>
      </c>
      <c r="T64" s="14">
        <v>59</v>
      </c>
      <c r="U64" s="15">
        <v>45684</v>
      </c>
      <c r="V64" s="14">
        <f>DATEDIF(Augmented_Data!$K64,Augmented_Data!$U64,"D")</f>
        <v>4</v>
      </c>
      <c r="W64" s="14" t="s">
        <v>1613</v>
      </c>
      <c r="X64" s="14">
        <f>Augmented_Data!$Z64-Augmented_Data!$AA64</f>
        <v>48.069999999999993</v>
      </c>
      <c r="Y64" s="14">
        <f>Augmented_Data!$N64*Augmented_Data!$O64</f>
        <v>421.7</v>
      </c>
      <c r="Z64" s="14">
        <f>Augmented_Data!$Y64+Augmented_Data!$T64</f>
        <v>480.7</v>
      </c>
      <c r="AA64" s="16">
        <f>IF(Augmented_Data!Q64="0 delivery charge",Augmented_Data!Z64-Augmented_Data!T64,Augmented_Data!Z64*(1-Augmented_Data!Q64))</f>
        <v>432.63</v>
      </c>
    </row>
    <row r="65" spans="1:27" x14ac:dyDescent="0.3">
      <c r="A65" s="11" t="s">
        <v>40</v>
      </c>
      <c r="B65" s="11" t="str">
        <f>_xlfn.CONCAT(Augmented_Data!$C65," ",Augmented_Data!$D65)</f>
        <v>John Herrera</v>
      </c>
      <c r="C65" s="11" t="s">
        <v>121</v>
      </c>
      <c r="D65" s="11" t="s">
        <v>221</v>
      </c>
      <c r="E65" s="11">
        <v>64</v>
      </c>
      <c r="F65" s="11" t="s">
        <v>289</v>
      </c>
      <c r="G65" s="11" t="s">
        <v>292</v>
      </c>
      <c r="H65" s="11" t="s">
        <v>321</v>
      </c>
      <c r="I65" s="11" t="s">
        <v>421</v>
      </c>
      <c r="J65" s="11" t="s">
        <v>562</v>
      </c>
      <c r="K65" s="12">
        <v>45629</v>
      </c>
      <c r="L65" s="11" t="s">
        <v>1062</v>
      </c>
      <c r="M65" s="11" t="s">
        <v>1511</v>
      </c>
      <c r="N65" s="11">
        <v>272.51</v>
      </c>
      <c r="O65" s="11">
        <v>1</v>
      </c>
      <c r="P65" s="11" t="s">
        <v>1550</v>
      </c>
      <c r="Q65" s="11" t="str">
        <f>_xlfn.IFS(Augmented_Data!$P65="FLAT8","8%",Augmented_Data!$P65="FLAT10","10%",Augmented_Data!$P65="FLAT15","15%",Augmented_Data!$P65="FLAT20","20%",Augmented_Data!$P65="DEL0","0 delivery charge")</f>
        <v>20%</v>
      </c>
      <c r="R65" s="11">
        <v>4</v>
      </c>
      <c r="S65" s="11" t="str">
        <f>_xlfn.IFS(Augmented_Data!U65-Augmented_Data!K65=Augmented_Data!$R65,"Intime",Augmented_Data!U65-Augmented_Data!K65&lt;Augmented_Data!R65,"Before Time",Augmented_Data!U65-Augmented_Data!K65&gt;Augmented_Data!R65,"Late")</f>
        <v>Before Time</v>
      </c>
      <c r="T65" s="11">
        <v>43</v>
      </c>
      <c r="U65" s="12">
        <v>45630</v>
      </c>
      <c r="V65" s="11">
        <f>DATEDIF(Augmented_Data!$K65,Augmented_Data!$U65,"D")</f>
        <v>1</v>
      </c>
      <c r="W65" s="11" t="s">
        <v>1614</v>
      </c>
      <c r="X65" s="11">
        <f>Augmented_Data!$Z65-Augmented_Data!$AA65</f>
        <v>63.101999999999975</v>
      </c>
      <c r="Y65" s="11">
        <f>Augmented_Data!$N65*Augmented_Data!$O65</f>
        <v>272.51</v>
      </c>
      <c r="Z65" s="11">
        <f>Augmented_Data!$Y65+Augmented_Data!$T65</f>
        <v>315.51</v>
      </c>
      <c r="AA65" s="13">
        <f>IF(Augmented_Data!Q65="0 delivery charge",Augmented_Data!Z65-Augmented_Data!T65,Augmented_Data!Z65*(1-Augmented_Data!Q65))</f>
        <v>252.40800000000002</v>
      </c>
    </row>
    <row r="66" spans="1:27" x14ac:dyDescent="0.3">
      <c r="A66" s="14" t="s">
        <v>69</v>
      </c>
      <c r="B66" s="14" t="str">
        <f>_xlfn.CONCAT(Augmented_Data!$C66," ",Augmented_Data!$D66)</f>
        <v>Sharon Thompson</v>
      </c>
      <c r="C66" s="14" t="s">
        <v>163</v>
      </c>
      <c r="D66" s="14" t="s">
        <v>238</v>
      </c>
      <c r="E66" s="14">
        <v>57</v>
      </c>
      <c r="F66" s="14" t="s">
        <v>289</v>
      </c>
      <c r="G66" s="14" t="s">
        <v>298</v>
      </c>
      <c r="H66" s="14" t="s">
        <v>350</v>
      </c>
      <c r="I66" s="14" t="s">
        <v>450</v>
      </c>
      <c r="J66" s="14" t="s">
        <v>563</v>
      </c>
      <c r="K66" s="15">
        <v>45346</v>
      </c>
      <c r="L66" s="14" t="s">
        <v>1063</v>
      </c>
      <c r="M66" s="14" t="s">
        <v>1508</v>
      </c>
      <c r="N66" s="14">
        <v>175.93</v>
      </c>
      <c r="O66" s="14">
        <v>3</v>
      </c>
      <c r="P66" s="14" t="s">
        <v>2047</v>
      </c>
      <c r="Q66" s="14" t="str">
        <f>_xlfn.IFS(Augmented_Data!$P66="FLAT8","8%",Augmented_Data!$P66="FLAT10","10%",Augmented_Data!$P66="FLAT15","15%",Augmented_Data!$P66="FLAT20","20%",Augmented_Data!$P66="DEL0","0 delivery charge")</f>
        <v>8%</v>
      </c>
      <c r="R66" s="14">
        <v>4</v>
      </c>
      <c r="S66" s="14" t="str">
        <f>_xlfn.IFS(Augmented_Data!U66-Augmented_Data!K66=Augmented_Data!$R66,"Intime",Augmented_Data!U66-Augmented_Data!K66&lt;Augmented_Data!R66,"Before Time",Augmented_Data!U66-Augmented_Data!K66&gt;Augmented_Data!R66,"Late")</f>
        <v>Late</v>
      </c>
      <c r="T66" s="14">
        <v>46</v>
      </c>
      <c r="U66" s="15">
        <v>45351</v>
      </c>
      <c r="V66" s="14">
        <f>DATEDIF(Augmented_Data!$K66,Augmented_Data!$U66,"D")</f>
        <v>5</v>
      </c>
      <c r="W66" s="14" t="s">
        <v>1615</v>
      </c>
      <c r="X66" s="14">
        <f>Augmented_Data!$Z66-Augmented_Data!$AA66</f>
        <v>45.90319999999997</v>
      </c>
      <c r="Y66" s="14">
        <f>Augmented_Data!$N66*Augmented_Data!$O66</f>
        <v>527.79</v>
      </c>
      <c r="Z66" s="14">
        <f>Augmented_Data!$Y66+Augmented_Data!$T66</f>
        <v>573.79</v>
      </c>
      <c r="AA66" s="16">
        <f>IF(Augmented_Data!Q66="0 delivery charge",Augmented_Data!Z66-Augmented_Data!T66,Augmented_Data!Z66*(1-Augmented_Data!Q66))</f>
        <v>527.88679999999999</v>
      </c>
    </row>
    <row r="67" spans="1:27" x14ac:dyDescent="0.3">
      <c r="A67" s="11" t="s">
        <v>70</v>
      </c>
      <c r="B67" s="11" t="str">
        <f>_xlfn.CONCAT(Augmented_Data!$C67," ",Augmented_Data!$D67)</f>
        <v>Sarah Butler</v>
      </c>
      <c r="C67" s="11" t="s">
        <v>164</v>
      </c>
      <c r="D67" s="11" t="s">
        <v>248</v>
      </c>
      <c r="E67" s="11">
        <v>64</v>
      </c>
      <c r="F67" s="11" t="s">
        <v>288</v>
      </c>
      <c r="G67" s="11" t="s">
        <v>291</v>
      </c>
      <c r="H67" s="11" t="s">
        <v>351</v>
      </c>
      <c r="I67" s="11" t="s">
        <v>451</v>
      </c>
      <c r="J67" s="11" t="s">
        <v>564</v>
      </c>
      <c r="K67" s="12">
        <v>45503</v>
      </c>
      <c r="L67" s="11" t="s">
        <v>1064</v>
      </c>
      <c r="M67" s="11" t="s">
        <v>1533</v>
      </c>
      <c r="N67" s="11">
        <v>136.30000000000001</v>
      </c>
      <c r="O67" s="11">
        <v>5</v>
      </c>
      <c r="P67" s="11" t="s">
        <v>1548</v>
      </c>
      <c r="Q67" s="11" t="str">
        <f>_xlfn.IFS(Augmented_Data!$P67="FLAT8","8%",Augmented_Data!$P67="FLAT10","10%",Augmented_Data!$P67="FLAT15","15%",Augmented_Data!$P67="FLAT20","20%",Augmented_Data!$P67="DEL0","0 delivery charge")</f>
        <v>15%</v>
      </c>
      <c r="R67" s="11">
        <v>6</v>
      </c>
      <c r="S67" s="11" t="str">
        <f>_xlfn.IFS(Augmented_Data!U67-Augmented_Data!K67=Augmented_Data!$R67,"Intime",Augmented_Data!U67-Augmented_Data!K67&lt;Augmented_Data!R67,"Before Time",Augmented_Data!U67-Augmented_Data!K67&gt;Augmented_Data!R67,"Late")</f>
        <v>Late</v>
      </c>
      <c r="T67" s="11">
        <v>39</v>
      </c>
      <c r="U67" s="12">
        <v>45510</v>
      </c>
      <c r="V67" s="11">
        <f>DATEDIF(Augmented_Data!$K67,Augmented_Data!$U67,"D")</f>
        <v>7</v>
      </c>
      <c r="W67" s="11" t="s">
        <v>1616</v>
      </c>
      <c r="X67" s="11">
        <f>Augmented_Data!$Z67-Augmented_Data!$AA67</f>
        <v>108.07500000000005</v>
      </c>
      <c r="Y67" s="11">
        <f>Augmented_Data!$N67*Augmented_Data!$O67</f>
        <v>681.5</v>
      </c>
      <c r="Z67" s="11">
        <f>Augmented_Data!$Y67+Augmented_Data!$T67</f>
        <v>720.5</v>
      </c>
      <c r="AA67" s="13">
        <f>IF(Augmented_Data!Q67="0 delivery charge",Augmented_Data!Z67-Augmented_Data!T67,Augmented_Data!Z67*(1-Augmented_Data!Q67))</f>
        <v>612.42499999999995</v>
      </c>
    </row>
    <row r="68" spans="1:27" x14ac:dyDescent="0.3">
      <c r="A68" s="14" t="s">
        <v>44</v>
      </c>
      <c r="B68" s="14" t="str">
        <f>_xlfn.CONCAT(Augmented_Data!$C68," ",Augmented_Data!$D68)</f>
        <v>Ashley Rose</v>
      </c>
      <c r="C68" s="14" t="s">
        <v>142</v>
      </c>
      <c r="D68" s="14" t="s">
        <v>225</v>
      </c>
      <c r="E68" s="14">
        <v>60</v>
      </c>
      <c r="F68" s="14" t="s">
        <v>290</v>
      </c>
      <c r="G68" s="14" t="s">
        <v>291</v>
      </c>
      <c r="H68" s="14" t="s">
        <v>325</v>
      </c>
      <c r="I68" s="14" t="s">
        <v>425</v>
      </c>
      <c r="J68" s="14" t="s">
        <v>565</v>
      </c>
      <c r="K68" s="15">
        <v>45451</v>
      </c>
      <c r="L68" s="14" t="s">
        <v>1065</v>
      </c>
      <c r="M68" s="14" t="s">
        <v>1499</v>
      </c>
      <c r="N68" s="14">
        <v>441.03</v>
      </c>
      <c r="O68" s="14">
        <v>2</v>
      </c>
      <c r="P68" s="14" t="s">
        <v>1549</v>
      </c>
      <c r="Q68" s="14" t="str">
        <f>_xlfn.IFS(Augmented_Data!$P68="FLAT8","8%",Augmented_Data!$P68="FLAT10","10%",Augmented_Data!$P68="FLAT15","15%",Augmented_Data!$P68="FLAT20","20%",Augmented_Data!$P68="DEL0","0 delivery charge")</f>
        <v>10%</v>
      </c>
      <c r="R68" s="14">
        <v>3</v>
      </c>
      <c r="S68" s="14" t="str">
        <f>_xlfn.IFS(Augmented_Data!U68-Augmented_Data!K68=Augmented_Data!$R68,"Intime",Augmented_Data!U68-Augmented_Data!K68&lt;Augmented_Data!R68,"Before Time",Augmented_Data!U68-Augmented_Data!K68&gt;Augmented_Data!R68,"Late")</f>
        <v>Late</v>
      </c>
      <c r="T68" s="14">
        <v>49</v>
      </c>
      <c r="U68" s="15">
        <v>45458</v>
      </c>
      <c r="V68" s="14">
        <f>DATEDIF(Augmented_Data!$K68,Augmented_Data!$U68,"D")</f>
        <v>7</v>
      </c>
      <c r="W68" s="14" t="s">
        <v>1617</v>
      </c>
      <c r="X68" s="14">
        <f>Augmented_Data!$Z68-Augmented_Data!$AA68</f>
        <v>93.105999999999995</v>
      </c>
      <c r="Y68" s="14">
        <f>Augmented_Data!$N68*Augmented_Data!$O68</f>
        <v>882.06</v>
      </c>
      <c r="Z68" s="14">
        <f>Augmented_Data!$Y68+Augmented_Data!$T68</f>
        <v>931.06</v>
      </c>
      <c r="AA68" s="16">
        <f>IF(Augmented_Data!Q68="0 delivery charge",Augmented_Data!Z68-Augmented_Data!T68,Augmented_Data!Z68*(1-Augmented_Data!Q68))</f>
        <v>837.95399999999995</v>
      </c>
    </row>
    <row r="69" spans="1:27" x14ac:dyDescent="0.3">
      <c r="A69" s="11" t="s">
        <v>71</v>
      </c>
      <c r="B69" s="11" t="str">
        <f>_xlfn.CONCAT(Augmented_Data!$C69," ",Augmented_Data!$D69)</f>
        <v>Katherine Weber</v>
      </c>
      <c r="C69" s="11" t="s">
        <v>165</v>
      </c>
      <c r="D69" s="11" t="s">
        <v>249</v>
      </c>
      <c r="E69" s="11">
        <v>42</v>
      </c>
      <c r="F69" s="11" t="s">
        <v>290</v>
      </c>
      <c r="G69" s="11" t="s">
        <v>295</v>
      </c>
      <c r="H69" s="11" t="s">
        <v>352</v>
      </c>
      <c r="I69" s="11" t="s">
        <v>452</v>
      </c>
      <c r="J69" s="11" t="s">
        <v>566</v>
      </c>
      <c r="K69" s="12">
        <v>45322</v>
      </c>
      <c r="L69" s="11" t="s">
        <v>1066</v>
      </c>
      <c r="M69" s="11" t="s">
        <v>1530</v>
      </c>
      <c r="N69" s="11">
        <v>369.03</v>
      </c>
      <c r="O69" s="11">
        <v>4</v>
      </c>
      <c r="P69" s="11" t="s">
        <v>1550</v>
      </c>
      <c r="Q69" s="11" t="str">
        <f>_xlfn.IFS(Augmented_Data!$P69="FLAT8","8%",Augmented_Data!$P69="FLAT10","10%",Augmented_Data!$P69="FLAT15","15%",Augmented_Data!$P69="FLAT20","20%",Augmented_Data!$P69="DEL0","0 delivery charge")</f>
        <v>20%</v>
      </c>
      <c r="R69" s="11">
        <v>7</v>
      </c>
      <c r="S69" s="11" t="str">
        <f>_xlfn.IFS(Augmented_Data!U69-Augmented_Data!K69=Augmented_Data!$R69,"Intime",Augmented_Data!U69-Augmented_Data!K69&lt;Augmented_Data!R69,"Before Time",Augmented_Data!U69-Augmented_Data!K69&gt;Augmented_Data!R69,"Late")</f>
        <v>Before Time</v>
      </c>
      <c r="T69" s="11">
        <v>52</v>
      </c>
      <c r="U69" s="12">
        <v>45327</v>
      </c>
      <c r="V69" s="11">
        <f>DATEDIF(Augmented_Data!$K69,Augmented_Data!$U69,"D")</f>
        <v>5</v>
      </c>
      <c r="W69" s="11" t="s">
        <v>1618</v>
      </c>
      <c r="X69" s="11">
        <f>Augmented_Data!$Z69-Augmented_Data!$AA69</f>
        <v>305.62400000000002</v>
      </c>
      <c r="Y69" s="11">
        <f>Augmented_Data!$N69*Augmented_Data!$O69</f>
        <v>1476.12</v>
      </c>
      <c r="Z69" s="11">
        <f>Augmented_Data!$Y69+Augmented_Data!$T69</f>
        <v>1528.12</v>
      </c>
      <c r="AA69" s="13">
        <f>IF(Augmented_Data!Q69="0 delivery charge",Augmented_Data!Z69-Augmented_Data!T69,Augmented_Data!Z69*(1-Augmented_Data!Q69))</f>
        <v>1222.4959999999999</v>
      </c>
    </row>
    <row r="70" spans="1:27" x14ac:dyDescent="0.3">
      <c r="A70" s="14" t="s">
        <v>42</v>
      </c>
      <c r="B70" s="14" t="str">
        <f>_xlfn.CONCAT(Augmented_Data!$C70," ",Augmented_Data!$D70)</f>
        <v>Jason Nguyen</v>
      </c>
      <c r="C70" s="14" t="s">
        <v>140</v>
      </c>
      <c r="D70" s="14" t="s">
        <v>223</v>
      </c>
      <c r="E70" s="14">
        <v>51</v>
      </c>
      <c r="F70" s="14" t="s">
        <v>290</v>
      </c>
      <c r="G70" s="14" t="s">
        <v>294</v>
      </c>
      <c r="H70" s="14" t="s">
        <v>323</v>
      </c>
      <c r="I70" s="14" t="s">
        <v>423</v>
      </c>
      <c r="J70" s="14" t="s">
        <v>525</v>
      </c>
      <c r="K70" s="15">
        <v>45277</v>
      </c>
      <c r="L70" s="14" t="s">
        <v>1025</v>
      </c>
      <c r="M70" s="14" t="s">
        <v>1518</v>
      </c>
      <c r="N70" s="14">
        <v>496.59</v>
      </c>
      <c r="O70" s="14">
        <v>4</v>
      </c>
      <c r="P70" s="14" t="s">
        <v>1548</v>
      </c>
      <c r="Q70" s="14" t="str">
        <f>_xlfn.IFS(Augmented_Data!$P70="FLAT8","8%",Augmented_Data!$P70="FLAT10","10%",Augmented_Data!$P70="FLAT15","15%",Augmented_Data!$P70="FLAT20","20%",Augmented_Data!$P70="DEL0","0 delivery charge")</f>
        <v>15%</v>
      </c>
      <c r="R70" s="14">
        <v>7</v>
      </c>
      <c r="S70" s="14" t="str">
        <f>_xlfn.IFS(Augmented_Data!U70-Augmented_Data!K70=Augmented_Data!$R70,"Intime",Augmented_Data!U70-Augmented_Data!K70&lt;Augmented_Data!R70,"Before Time",Augmented_Data!U70-Augmented_Data!K70&gt;Augmented_Data!R70,"Late")</f>
        <v>Before Time</v>
      </c>
      <c r="T70" s="14">
        <v>36</v>
      </c>
      <c r="U70" s="15">
        <v>45280</v>
      </c>
      <c r="V70" s="14">
        <f>DATEDIF(Augmented_Data!$K70,Augmented_Data!$U70,"D")</f>
        <v>3</v>
      </c>
      <c r="W70" s="14" t="s">
        <v>1577</v>
      </c>
      <c r="X70" s="14">
        <f>Augmented_Data!$Z70-Augmented_Data!$AA70</f>
        <v>303.35400000000004</v>
      </c>
      <c r="Y70" s="14">
        <f>Augmented_Data!$N70*Augmented_Data!$O70</f>
        <v>1986.36</v>
      </c>
      <c r="Z70" s="14">
        <f>Augmented_Data!$Y70+Augmented_Data!$T70</f>
        <v>2022.36</v>
      </c>
      <c r="AA70" s="16">
        <f>IF(Augmented_Data!Q70="0 delivery charge",Augmented_Data!Z70-Augmented_Data!T70,Augmented_Data!Z70*(1-Augmented_Data!Q70))</f>
        <v>1719.0059999999999</v>
      </c>
    </row>
    <row r="71" spans="1:27" x14ac:dyDescent="0.3">
      <c r="A71" s="11" t="s">
        <v>73</v>
      </c>
      <c r="B71" s="11" t="str">
        <f>_xlfn.CONCAT(Augmented_Data!$C71," ",Augmented_Data!$D71)</f>
        <v>Brandon Cruz</v>
      </c>
      <c r="C71" s="11" t="s">
        <v>166</v>
      </c>
      <c r="D71" s="11" t="s">
        <v>251</v>
      </c>
      <c r="E71" s="11">
        <v>32</v>
      </c>
      <c r="F71" s="11" t="s">
        <v>290</v>
      </c>
      <c r="G71" s="11" t="s">
        <v>296</v>
      </c>
      <c r="H71" s="11" t="s">
        <v>354</v>
      </c>
      <c r="I71" s="11" t="s">
        <v>454</v>
      </c>
      <c r="J71" s="11" t="s">
        <v>568</v>
      </c>
      <c r="K71" s="12">
        <v>45586</v>
      </c>
      <c r="L71" s="11" t="s">
        <v>1068</v>
      </c>
      <c r="M71" s="11" t="s">
        <v>1518</v>
      </c>
      <c r="N71" s="11">
        <v>496.59</v>
      </c>
      <c r="O71" s="11">
        <v>2</v>
      </c>
      <c r="P71" s="11" t="s">
        <v>2047</v>
      </c>
      <c r="Q71" s="11" t="str">
        <f>_xlfn.IFS(Augmented_Data!$P71="FLAT8","8%",Augmented_Data!$P71="FLAT10","10%",Augmented_Data!$P71="FLAT15","15%",Augmented_Data!$P71="FLAT20","20%",Augmented_Data!$P71="DEL0","0 delivery charge")</f>
        <v>8%</v>
      </c>
      <c r="R71" s="11">
        <v>5</v>
      </c>
      <c r="S71" s="11" t="str">
        <f>_xlfn.IFS(Augmented_Data!U71-Augmented_Data!K71=Augmented_Data!$R71,"Intime",Augmented_Data!U71-Augmented_Data!K71&lt;Augmented_Data!R71,"Before Time",Augmented_Data!U71-Augmented_Data!K71&gt;Augmented_Data!R71,"Late")</f>
        <v>Before Time</v>
      </c>
      <c r="T71" s="11">
        <v>41</v>
      </c>
      <c r="U71" s="12">
        <v>45588</v>
      </c>
      <c r="V71" s="11">
        <f>DATEDIF(Augmented_Data!$K71,Augmented_Data!$U71,"D")</f>
        <v>2</v>
      </c>
      <c r="W71" s="11" t="s">
        <v>1620</v>
      </c>
      <c r="X71" s="11">
        <f>Augmented_Data!$Z71-Augmented_Data!$AA71</f>
        <v>82.734399999999937</v>
      </c>
      <c r="Y71" s="11">
        <f>Augmented_Data!$N71*Augmented_Data!$O71</f>
        <v>993.18</v>
      </c>
      <c r="Z71" s="11">
        <f>Augmented_Data!$Y71+Augmented_Data!$T71</f>
        <v>1034.1799999999998</v>
      </c>
      <c r="AA71" s="13">
        <f>IF(Augmented_Data!Q71="0 delivery charge",Augmented_Data!Z71-Augmented_Data!T71,Augmented_Data!Z71*(1-Augmented_Data!Q71))</f>
        <v>951.4455999999999</v>
      </c>
    </row>
    <row r="72" spans="1:27" x14ac:dyDescent="0.3">
      <c r="A72" s="14" t="s">
        <v>18</v>
      </c>
      <c r="B72" s="14" t="str">
        <f>_xlfn.CONCAT(Augmented_Data!$C72," ",Augmented_Data!$D72)</f>
        <v>Anne Oconnell</v>
      </c>
      <c r="C72" s="14" t="s">
        <v>118</v>
      </c>
      <c r="D72" s="14" t="s">
        <v>201</v>
      </c>
      <c r="E72" s="14">
        <v>37</v>
      </c>
      <c r="F72" s="14" t="s">
        <v>288</v>
      </c>
      <c r="G72" s="14" t="s">
        <v>291</v>
      </c>
      <c r="H72" s="14" t="s">
        <v>299</v>
      </c>
      <c r="I72" s="14" t="s">
        <v>399</v>
      </c>
      <c r="J72" s="14" t="s">
        <v>569</v>
      </c>
      <c r="K72" s="15">
        <v>45567</v>
      </c>
      <c r="L72" s="14" t="s">
        <v>1069</v>
      </c>
      <c r="M72" s="14" t="s">
        <v>1497</v>
      </c>
      <c r="N72" s="14">
        <v>308.88</v>
      </c>
      <c r="O72" s="14">
        <v>1</v>
      </c>
      <c r="P72" s="14" t="s">
        <v>1547</v>
      </c>
      <c r="Q72" s="14" t="str">
        <f>_xlfn.IFS(Augmented_Data!$P72="FLAT8","8%",Augmented_Data!$P72="FLAT10","10%",Augmented_Data!$P72="FLAT15","15%",Augmented_Data!$P72="FLAT20","20%",Augmented_Data!$P72="DEL0","0 delivery charge")</f>
        <v>0 delivery charge</v>
      </c>
      <c r="R72" s="14">
        <v>6</v>
      </c>
      <c r="S72" s="14" t="str">
        <f>_xlfn.IFS(Augmented_Data!U72-Augmented_Data!K72=Augmented_Data!$R72,"Intime",Augmented_Data!U72-Augmented_Data!K72&lt;Augmented_Data!R72,"Before Time",Augmented_Data!U72-Augmented_Data!K72&gt;Augmented_Data!R72,"Late")</f>
        <v>Before Time</v>
      </c>
      <c r="T72" s="14">
        <v>62</v>
      </c>
      <c r="U72" s="15">
        <v>45569</v>
      </c>
      <c r="V72" s="14">
        <f>DATEDIF(Augmented_Data!$K72,Augmented_Data!$U72,"D")</f>
        <v>2</v>
      </c>
      <c r="W72" s="14" t="s">
        <v>1621</v>
      </c>
      <c r="X72" s="14">
        <f>Augmented_Data!$Z72-Augmented_Data!$AA72</f>
        <v>62</v>
      </c>
      <c r="Y72" s="14">
        <f>Augmented_Data!$N72*Augmented_Data!$O72</f>
        <v>308.88</v>
      </c>
      <c r="Z72" s="14">
        <f>Augmented_Data!$Y72+Augmented_Data!$T72</f>
        <v>370.88</v>
      </c>
      <c r="AA72" s="16">
        <f>IF(Augmented_Data!Q72="0 delivery charge",Augmented_Data!Z72-Augmented_Data!T72,Augmented_Data!Z72*(1-Augmented_Data!Q72))</f>
        <v>308.88</v>
      </c>
    </row>
    <row r="73" spans="1:27" x14ac:dyDescent="0.3">
      <c r="A73" s="11" t="s">
        <v>74</v>
      </c>
      <c r="B73" s="11" t="str">
        <f>_xlfn.CONCAT(Augmented_Data!$C73," ",Augmented_Data!$D73)</f>
        <v>Jodi Whitney</v>
      </c>
      <c r="C73" s="11" t="s">
        <v>167</v>
      </c>
      <c r="D73" s="11" t="s">
        <v>252</v>
      </c>
      <c r="E73" s="11">
        <v>33</v>
      </c>
      <c r="F73" s="11" t="s">
        <v>290</v>
      </c>
      <c r="G73" s="11" t="s">
        <v>297</v>
      </c>
      <c r="H73" s="11" t="s">
        <v>355</v>
      </c>
      <c r="I73" s="11" t="s">
        <v>455</v>
      </c>
      <c r="J73" s="11" t="s">
        <v>570</v>
      </c>
      <c r="K73" s="12">
        <v>45495</v>
      </c>
      <c r="L73" s="11" t="s">
        <v>1070</v>
      </c>
      <c r="M73" s="11" t="s">
        <v>1534</v>
      </c>
      <c r="N73" s="11">
        <v>425.59</v>
      </c>
      <c r="O73" s="11">
        <v>4</v>
      </c>
      <c r="P73" s="11" t="s">
        <v>1547</v>
      </c>
      <c r="Q73" s="11" t="str">
        <f>_xlfn.IFS(Augmented_Data!$P73="FLAT8","8%",Augmented_Data!$P73="FLAT10","10%",Augmented_Data!$P73="FLAT15","15%",Augmented_Data!$P73="FLAT20","20%",Augmented_Data!$P73="DEL0","0 delivery charge")</f>
        <v>0 delivery charge</v>
      </c>
      <c r="R73" s="11">
        <v>6</v>
      </c>
      <c r="S73" s="11" t="str">
        <f>_xlfn.IFS(Augmented_Data!U73-Augmented_Data!K73=Augmented_Data!$R73,"Intime",Augmented_Data!U73-Augmented_Data!K73&lt;Augmented_Data!R73,"Before Time",Augmented_Data!U73-Augmented_Data!K73&gt;Augmented_Data!R73,"Late")</f>
        <v>Before Time</v>
      </c>
      <c r="T73" s="11">
        <v>53</v>
      </c>
      <c r="U73" s="12">
        <v>45496</v>
      </c>
      <c r="V73" s="11">
        <f>DATEDIF(Augmented_Data!$K73,Augmented_Data!$U73,"D")</f>
        <v>1</v>
      </c>
      <c r="W73" s="11" t="s">
        <v>1622</v>
      </c>
      <c r="X73" s="11">
        <f>Augmented_Data!$Z73-Augmented_Data!$AA73</f>
        <v>53</v>
      </c>
      <c r="Y73" s="11">
        <f>Augmented_Data!$N73*Augmented_Data!$O73</f>
        <v>1702.36</v>
      </c>
      <c r="Z73" s="11">
        <f>Augmented_Data!$Y73+Augmented_Data!$T73</f>
        <v>1755.36</v>
      </c>
      <c r="AA73" s="13">
        <f>IF(Augmented_Data!Q73="0 delivery charge",Augmented_Data!Z73-Augmented_Data!T73,Augmented_Data!Z73*(1-Augmented_Data!Q73))</f>
        <v>1702.36</v>
      </c>
    </row>
    <row r="74" spans="1:27" x14ac:dyDescent="0.3">
      <c r="A74" s="14" t="s">
        <v>39</v>
      </c>
      <c r="B74" s="14" t="str">
        <f>_xlfn.CONCAT(Augmented_Data!$C74," ",Augmented_Data!$D74)</f>
        <v>Mark Henderson</v>
      </c>
      <c r="C74" s="14" t="s">
        <v>139</v>
      </c>
      <c r="D74" s="14" t="s">
        <v>220</v>
      </c>
      <c r="E74" s="14">
        <v>33</v>
      </c>
      <c r="F74" s="14" t="s">
        <v>290</v>
      </c>
      <c r="G74" s="14" t="s">
        <v>298</v>
      </c>
      <c r="H74" s="14" t="s">
        <v>320</v>
      </c>
      <c r="I74" s="14" t="s">
        <v>420</v>
      </c>
      <c r="J74" s="14" t="s">
        <v>571</v>
      </c>
      <c r="K74" s="15">
        <v>45355</v>
      </c>
      <c r="L74" s="14" t="s">
        <v>1071</v>
      </c>
      <c r="M74" s="14" t="s">
        <v>1497</v>
      </c>
      <c r="N74" s="14">
        <v>308.88</v>
      </c>
      <c r="O74" s="14">
        <v>1</v>
      </c>
      <c r="P74" s="14" t="s">
        <v>1549</v>
      </c>
      <c r="Q74" s="14" t="str">
        <f>_xlfn.IFS(Augmented_Data!$P74="FLAT8","8%",Augmented_Data!$P74="FLAT10","10%",Augmented_Data!$P74="FLAT15","15%",Augmented_Data!$P74="FLAT20","20%",Augmented_Data!$P74="DEL0","0 delivery charge")</f>
        <v>10%</v>
      </c>
      <c r="R74" s="14">
        <v>1</v>
      </c>
      <c r="S74" s="14" t="str">
        <f>_xlfn.IFS(Augmented_Data!U74-Augmented_Data!K74=Augmented_Data!$R74,"Intime",Augmented_Data!U74-Augmented_Data!K74&lt;Augmented_Data!R74,"Before Time",Augmented_Data!U74-Augmented_Data!K74&gt;Augmented_Data!R74,"Late")</f>
        <v>Late</v>
      </c>
      <c r="T74" s="14">
        <v>56</v>
      </c>
      <c r="U74" s="15">
        <v>45360</v>
      </c>
      <c r="V74" s="14">
        <f>DATEDIF(Augmented_Data!$K74,Augmented_Data!$U74,"D")</f>
        <v>5</v>
      </c>
      <c r="W74" s="14" t="s">
        <v>1623</v>
      </c>
      <c r="X74" s="14">
        <f>Augmented_Data!$Z74-Augmented_Data!$AA74</f>
        <v>36.488</v>
      </c>
      <c r="Y74" s="14">
        <f>Augmented_Data!$N74*Augmented_Data!$O74</f>
        <v>308.88</v>
      </c>
      <c r="Z74" s="14">
        <f>Augmented_Data!$Y74+Augmented_Data!$T74</f>
        <v>364.88</v>
      </c>
      <c r="AA74" s="16">
        <f>IF(Augmented_Data!Q74="0 delivery charge",Augmented_Data!Z74-Augmented_Data!T74,Augmented_Data!Z74*(1-Augmented_Data!Q74))</f>
        <v>328.392</v>
      </c>
    </row>
    <row r="75" spans="1:27" x14ac:dyDescent="0.3">
      <c r="A75" s="11" t="s">
        <v>85</v>
      </c>
      <c r="B75" s="11" t="str">
        <f>_xlfn.CONCAT(Augmented_Data!$C75," ",Augmented_Data!$D75)</f>
        <v>Brian Kennedy</v>
      </c>
      <c r="C75" s="11" t="s">
        <v>175</v>
      </c>
      <c r="D75" s="11" t="s">
        <v>262</v>
      </c>
      <c r="E75" s="11">
        <v>69</v>
      </c>
      <c r="F75" s="11" t="s">
        <v>288</v>
      </c>
      <c r="G75" s="11" t="s">
        <v>291</v>
      </c>
      <c r="H75" s="11" t="s">
        <v>366</v>
      </c>
      <c r="I75" s="11" t="s">
        <v>466</v>
      </c>
      <c r="J75" s="11" t="s">
        <v>774</v>
      </c>
      <c r="K75" s="12">
        <v>45132</v>
      </c>
      <c r="L75" s="11" t="s">
        <v>1274</v>
      </c>
      <c r="M75" s="11" t="s">
        <v>1528</v>
      </c>
      <c r="N75" s="11">
        <v>431.44</v>
      </c>
      <c r="O75" s="11">
        <v>5</v>
      </c>
      <c r="P75" s="11" t="s">
        <v>1548</v>
      </c>
      <c r="Q75" s="11" t="str">
        <f>_xlfn.IFS(Augmented_Data!$P75="FLAT8","8%",Augmented_Data!$P75="FLAT10","10%",Augmented_Data!$P75="FLAT15","15%",Augmented_Data!$P75="FLAT20","20%",Augmented_Data!$P75="DEL0","0 delivery charge")</f>
        <v>15%</v>
      </c>
      <c r="R75" s="11">
        <v>6</v>
      </c>
      <c r="S75" s="11" t="str">
        <f>_xlfn.IFS(Augmented_Data!U75-Augmented_Data!K75=Augmented_Data!$R75,"Intime",Augmented_Data!U75-Augmented_Data!K75&lt;Augmented_Data!R75,"Before Time",Augmented_Data!U75-Augmented_Data!K75&gt;Augmented_Data!R75,"Late")</f>
        <v>Late</v>
      </c>
      <c r="T75" s="11">
        <v>59</v>
      </c>
      <c r="U75" s="12">
        <v>45139</v>
      </c>
      <c r="V75" s="11">
        <f>DATEDIF(Augmented_Data!$K75,Augmented_Data!$U75,"D")</f>
        <v>7</v>
      </c>
      <c r="W75" s="11" t="s">
        <v>1825</v>
      </c>
      <c r="X75" s="11">
        <f>Augmented_Data!$Z75-Augmented_Data!$AA75</f>
        <v>332.43000000000006</v>
      </c>
      <c r="Y75" s="11">
        <f>Augmented_Data!$N75*Augmented_Data!$O75</f>
        <v>2157.1999999999998</v>
      </c>
      <c r="Z75" s="11">
        <f>Augmented_Data!$Y75+Augmented_Data!$T75</f>
        <v>2216.1999999999998</v>
      </c>
      <c r="AA75" s="13">
        <f>IF(Augmented_Data!Q75="0 delivery charge",Augmented_Data!Z75-Augmented_Data!T75,Augmented_Data!Z75*(1-Augmented_Data!Q75))</f>
        <v>1883.7699999999998</v>
      </c>
    </row>
    <row r="76" spans="1:27" x14ac:dyDescent="0.3">
      <c r="A76" s="14" t="s">
        <v>85</v>
      </c>
      <c r="B76" s="14" t="str">
        <f>_xlfn.CONCAT(Augmented_Data!$C76," ",Augmented_Data!$D76)</f>
        <v>Brian Kennedy</v>
      </c>
      <c r="C76" s="14" t="s">
        <v>175</v>
      </c>
      <c r="D76" s="14" t="s">
        <v>262</v>
      </c>
      <c r="E76" s="14">
        <v>69</v>
      </c>
      <c r="F76" s="14" t="s">
        <v>288</v>
      </c>
      <c r="G76" s="14" t="s">
        <v>291</v>
      </c>
      <c r="H76" s="14" t="s">
        <v>366</v>
      </c>
      <c r="I76" s="14" t="s">
        <v>466</v>
      </c>
      <c r="J76" s="14" t="s">
        <v>818</v>
      </c>
      <c r="K76" s="15">
        <v>45650</v>
      </c>
      <c r="L76" s="14" t="s">
        <v>1318</v>
      </c>
      <c r="M76" s="14" t="s">
        <v>1541</v>
      </c>
      <c r="N76" s="14">
        <v>133.62</v>
      </c>
      <c r="O76" s="14">
        <v>2</v>
      </c>
      <c r="P76" s="14" t="s">
        <v>1549</v>
      </c>
      <c r="Q76" s="14" t="str">
        <f>_xlfn.IFS(Augmented_Data!$P76="FLAT8","8%",Augmented_Data!$P76="FLAT10","10%",Augmented_Data!$P76="FLAT15","15%",Augmented_Data!$P76="FLAT20","20%",Augmented_Data!$P76="DEL0","0 delivery charge")</f>
        <v>10%</v>
      </c>
      <c r="R76" s="14">
        <v>4</v>
      </c>
      <c r="S76" s="14" t="str">
        <f>_xlfn.IFS(Augmented_Data!U76-Augmented_Data!K76=Augmented_Data!$R76,"Intime",Augmented_Data!U76-Augmented_Data!K76&lt;Augmented_Data!R76,"Before Time",Augmented_Data!U76-Augmented_Data!K76&gt;Augmented_Data!R76,"Late")</f>
        <v>Before Time</v>
      </c>
      <c r="T76" s="14">
        <v>50</v>
      </c>
      <c r="U76" s="15">
        <v>45651</v>
      </c>
      <c r="V76" s="14">
        <f>DATEDIF(Augmented_Data!$K76,Augmented_Data!$U76,"D")</f>
        <v>1</v>
      </c>
      <c r="W76" s="14" t="s">
        <v>1869</v>
      </c>
      <c r="X76" s="14">
        <f>Augmented_Data!$Z76-Augmented_Data!$AA76</f>
        <v>31.72399999999999</v>
      </c>
      <c r="Y76" s="14">
        <f>Augmented_Data!$N76*Augmented_Data!$O76</f>
        <v>267.24</v>
      </c>
      <c r="Z76" s="14">
        <f>Augmented_Data!$Y76+Augmented_Data!$T76</f>
        <v>317.24</v>
      </c>
      <c r="AA76" s="16">
        <f>IF(Augmented_Data!Q76="0 delivery charge",Augmented_Data!Z76-Augmented_Data!T76,Augmented_Data!Z76*(1-Augmented_Data!Q76))</f>
        <v>285.51600000000002</v>
      </c>
    </row>
    <row r="77" spans="1:27" x14ac:dyDescent="0.3">
      <c r="A77" s="11" t="s">
        <v>100</v>
      </c>
      <c r="B77" s="11" t="str">
        <f>_xlfn.CONCAT(Augmented_Data!$C77," ",Augmented_Data!$D77)</f>
        <v>Teresa Harvey</v>
      </c>
      <c r="C77" s="11" t="s">
        <v>188</v>
      </c>
      <c r="D77" s="11" t="s">
        <v>274</v>
      </c>
      <c r="E77" s="11">
        <v>64</v>
      </c>
      <c r="F77" s="11" t="s">
        <v>290</v>
      </c>
      <c r="G77" s="11" t="s">
        <v>291</v>
      </c>
      <c r="H77" s="11" t="s">
        <v>381</v>
      </c>
      <c r="I77" s="11" t="s">
        <v>481</v>
      </c>
      <c r="J77" s="11" t="s">
        <v>875</v>
      </c>
      <c r="K77" s="12">
        <v>45459</v>
      </c>
      <c r="L77" s="11" t="s">
        <v>1375</v>
      </c>
      <c r="M77" s="11" t="s">
        <v>1503</v>
      </c>
      <c r="N77" s="11">
        <v>363.64</v>
      </c>
      <c r="O77" s="11">
        <v>3</v>
      </c>
      <c r="P77" s="11" t="s">
        <v>1547</v>
      </c>
      <c r="Q77" s="11" t="str">
        <f>_xlfn.IFS(Augmented_Data!$P77="FLAT8","8%",Augmented_Data!$P77="FLAT10","10%",Augmented_Data!$P77="FLAT15","15%",Augmented_Data!$P77="FLAT20","20%",Augmented_Data!$P77="DEL0","0 delivery charge")</f>
        <v>0 delivery charge</v>
      </c>
      <c r="R77" s="11">
        <v>7</v>
      </c>
      <c r="S77" s="11" t="str">
        <f>_xlfn.IFS(Augmented_Data!U77-Augmented_Data!K77=Augmented_Data!$R77,"Intime",Augmented_Data!U77-Augmented_Data!K77&lt;Augmented_Data!R77,"Before Time",Augmented_Data!U77-Augmented_Data!K77&gt;Augmented_Data!R77,"Late")</f>
        <v>Before Time</v>
      </c>
      <c r="T77" s="11">
        <v>41</v>
      </c>
      <c r="U77" s="12">
        <v>45461</v>
      </c>
      <c r="V77" s="11">
        <f>DATEDIF(Augmented_Data!$K77,Augmented_Data!$U77,"D")</f>
        <v>2</v>
      </c>
      <c r="W77" s="11" t="s">
        <v>1926</v>
      </c>
      <c r="X77" s="11">
        <f>Augmented_Data!$Z77-Augmented_Data!$AA77</f>
        <v>41</v>
      </c>
      <c r="Y77" s="11">
        <f>Augmented_Data!$N77*Augmented_Data!$O77</f>
        <v>1090.92</v>
      </c>
      <c r="Z77" s="11">
        <f>Augmented_Data!$Y77+Augmented_Data!$T77</f>
        <v>1131.92</v>
      </c>
      <c r="AA77" s="13">
        <f>IF(Augmented_Data!Q77="0 delivery charge",Augmented_Data!Z77-Augmented_Data!T77,Augmented_Data!Z77*(1-Augmented_Data!Q77))</f>
        <v>1090.92</v>
      </c>
    </row>
    <row r="78" spans="1:27" x14ac:dyDescent="0.3">
      <c r="A78" s="14" t="s">
        <v>19</v>
      </c>
      <c r="B78" s="14" t="str">
        <f>_xlfn.CONCAT(Augmented_Data!$C78," ",Augmented_Data!$D78)</f>
        <v>Anthony Thomas</v>
      </c>
      <c r="C78" s="14" t="s">
        <v>119</v>
      </c>
      <c r="D78" s="14" t="s">
        <v>154</v>
      </c>
      <c r="E78" s="14">
        <v>53</v>
      </c>
      <c r="F78" s="14" t="s">
        <v>289</v>
      </c>
      <c r="G78" s="14" t="s">
        <v>292</v>
      </c>
      <c r="H78" s="14" t="s">
        <v>300</v>
      </c>
      <c r="I78" s="14" t="s">
        <v>400</v>
      </c>
      <c r="J78" s="14" t="s">
        <v>575</v>
      </c>
      <c r="K78" s="15">
        <v>45041</v>
      </c>
      <c r="L78" s="14" t="s">
        <v>1075</v>
      </c>
      <c r="M78" s="14" t="s">
        <v>1529</v>
      </c>
      <c r="N78" s="14">
        <v>128.13999999999999</v>
      </c>
      <c r="O78" s="14">
        <v>1</v>
      </c>
      <c r="P78" s="14" t="s">
        <v>2047</v>
      </c>
      <c r="Q78" s="14" t="str">
        <f>_xlfn.IFS(Augmented_Data!$P78="FLAT8","8%",Augmented_Data!$P78="FLAT10","10%",Augmented_Data!$P78="FLAT15","15%",Augmented_Data!$P78="FLAT20","20%",Augmented_Data!$P78="DEL0","0 delivery charge")</f>
        <v>8%</v>
      </c>
      <c r="R78" s="14">
        <v>7</v>
      </c>
      <c r="S78" s="14" t="str">
        <f>_xlfn.IFS(Augmented_Data!U78-Augmented_Data!K78=Augmented_Data!$R78,"Intime",Augmented_Data!U78-Augmented_Data!K78&lt;Augmented_Data!R78,"Before Time",Augmented_Data!U78-Augmented_Data!K78&gt;Augmented_Data!R78,"Late")</f>
        <v>Before Time</v>
      </c>
      <c r="T78" s="14">
        <v>70</v>
      </c>
      <c r="U78" s="15">
        <v>45045</v>
      </c>
      <c r="V78" s="14">
        <f>DATEDIF(Augmented_Data!$K78,Augmented_Data!$U78,"D")</f>
        <v>4</v>
      </c>
      <c r="W78" s="14" t="s">
        <v>1627</v>
      </c>
      <c r="X78" s="14">
        <f>Augmented_Data!$Z78-Augmented_Data!$AA78</f>
        <v>15.851199999999977</v>
      </c>
      <c r="Y78" s="14">
        <f>Augmented_Data!$N78*Augmented_Data!$O78</f>
        <v>128.13999999999999</v>
      </c>
      <c r="Z78" s="14">
        <f>Augmented_Data!$Y78+Augmented_Data!$T78</f>
        <v>198.14</v>
      </c>
      <c r="AA78" s="16">
        <f>IF(Augmented_Data!Q78="0 delivery charge",Augmented_Data!Z78-Augmented_Data!T78,Augmented_Data!Z78*(1-Augmented_Data!Q78))</f>
        <v>182.28880000000001</v>
      </c>
    </row>
    <row r="79" spans="1:27" x14ac:dyDescent="0.3">
      <c r="A79" s="11" t="s">
        <v>57</v>
      </c>
      <c r="B79" s="11" t="str">
        <f>_xlfn.CONCAT(Augmented_Data!$C79," ",Augmented_Data!$D79)</f>
        <v>Aaron Thompson</v>
      </c>
      <c r="C79" s="11" t="s">
        <v>155</v>
      </c>
      <c r="D79" s="11" t="s">
        <v>238</v>
      </c>
      <c r="E79" s="11">
        <v>47</v>
      </c>
      <c r="F79" s="11" t="s">
        <v>289</v>
      </c>
      <c r="G79" s="11" t="s">
        <v>296</v>
      </c>
      <c r="H79" s="11" t="s">
        <v>338</v>
      </c>
      <c r="I79" s="11" t="s">
        <v>438</v>
      </c>
      <c r="J79" s="11" t="s">
        <v>576</v>
      </c>
      <c r="K79" s="12">
        <v>45683</v>
      </c>
      <c r="L79" s="11" t="s">
        <v>1076</v>
      </c>
      <c r="M79" s="11" t="s">
        <v>1535</v>
      </c>
      <c r="N79" s="11">
        <v>477.52</v>
      </c>
      <c r="O79" s="11">
        <v>2</v>
      </c>
      <c r="P79" s="11" t="s">
        <v>2047</v>
      </c>
      <c r="Q79" s="11" t="str">
        <f>_xlfn.IFS(Augmented_Data!$P79="FLAT8","8%",Augmented_Data!$P79="FLAT10","10%",Augmented_Data!$P79="FLAT15","15%",Augmented_Data!$P79="FLAT20","20%",Augmented_Data!$P79="DEL0","0 delivery charge")</f>
        <v>8%</v>
      </c>
      <c r="R79" s="11">
        <v>6</v>
      </c>
      <c r="S79" s="11" t="str">
        <f>_xlfn.IFS(Augmented_Data!U79-Augmented_Data!K79=Augmented_Data!$R79,"Intime",Augmented_Data!U79-Augmented_Data!K79&lt;Augmented_Data!R79,"Before Time",Augmented_Data!U79-Augmented_Data!K79&gt;Augmented_Data!R79,"Late")</f>
        <v>Before Time</v>
      </c>
      <c r="T79" s="11">
        <v>55</v>
      </c>
      <c r="U79" s="12">
        <v>45685</v>
      </c>
      <c r="V79" s="11">
        <f>DATEDIF(Augmented_Data!$K79,Augmented_Data!$U79,"D")</f>
        <v>2</v>
      </c>
      <c r="W79" s="11" t="s">
        <v>1628</v>
      </c>
      <c r="X79" s="11">
        <f>Augmented_Data!$Z79-Augmented_Data!$AA79</f>
        <v>80.803199999999947</v>
      </c>
      <c r="Y79" s="11">
        <f>Augmented_Data!$N79*Augmented_Data!$O79</f>
        <v>955.04</v>
      </c>
      <c r="Z79" s="11">
        <f>Augmented_Data!$Y79+Augmented_Data!$T79</f>
        <v>1010.04</v>
      </c>
      <c r="AA79" s="13">
        <f>IF(Augmented_Data!Q79="0 delivery charge",Augmented_Data!Z79-Augmented_Data!T79,Augmented_Data!Z79*(1-Augmented_Data!Q79))</f>
        <v>929.23680000000002</v>
      </c>
    </row>
    <row r="80" spans="1:27" x14ac:dyDescent="0.3">
      <c r="A80" s="14" t="s">
        <v>76</v>
      </c>
      <c r="B80" s="14" t="str">
        <f>_xlfn.CONCAT(Augmented_Data!$C80," ",Augmented_Data!$D80)</f>
        <v>Ashley Romero</v>
      </c>
      <c r="C80" s="14" t="s">
        <v>142</v>
      </c>
      <c r="D80" s="14" t="s">
        <v>254</v>
      </c>
      <c r="E80" s="14">
        <v>35</v>
      </c>
      <c r="F80" s="14" t="s">
        <v>288</v>
      </c>
      <c r="G80" s="14" t="s">
        <v>291</v>
      </c>
      <c r="H80" s="14" t="s">
        <v>357</v>
      </c>
      <c r="I80" s="14" t="s">
        <v>457</v>
      </c>
      <c r="J80" s="14" t="s">
        <v>577</v>
      </c>
      <c r="K80" s="15">
        <v>45054</v>
      </c>
      <c r="L80" s="14" t="s">
        <v>1077</v>
      </c>
      <c r="M80" s="14" t="s">
        <v>1516</v>
      </c>
      <c r="N80" s="14">
        <v>126.19</v>
      </c>
      <c r="O80" s="14">
        <v>3</v>
      </c>
      <c r="P80" s="14" t="s">
        <v>1547</v>
      </c>
      <c r="Q80" s="14" t="str">
        <f>_xlfn.IFS(Augmented_Data!$P80="FLAT8","8%",Augmented_Data!$P80="FLAT10","10%",Augmented_Data!$P80="FLAT15","15%",Augmented_Data!$P80="FLAT20","20%",Augmented_Data!$P80="DEL0","0 delivery charge")</f>
        <v>0 delivery charge</v>
      </c>
      <c r="R80" s="14">
        <v>5</v>
      </c>
      <c r="S80" s="14" t="str">
        <f>_xlfn.IFS(Augmented_Data!U80-Augmented_Data!K80=Augmented_Data!$R80,"Intime",Augmented_Data!U80-Augmented_Data!K80&lt;Augmented_Data!R80,"Before Time",Augmented_Data!U80-Augmented_Data!K80&gt;Augmented_Data!R80,"Late")</f>
        <v>Before Time</v>
      </c>
      <c r="T80" s="14">
        <v>40</v>
      </c>
      <c r="U80" s="15">
        <v>45058</v>
      </c>
      <c r="V80" s="14">
        <f>DATEDIF(Augmented_Data!$K80,Augmented_Data!$U80,"D")</f>
        <v>4</v>
      </c>
      <c r="W80" s="14" t="s">
        <v>1629</v>
      </c>
      <c r="X80" s="14">
        <f>Augmented_Data!$Z80-Augmented_Data!$AA80</f>
        <v>40</v>
      </c>
      <c r="Y80" s="14">
        <f>Augmented_Data!$N80*Augmented_Data!$O80</f>
        <v>378.57</v>
      </c>
      <c r="Z80" s="14">
        <f>Augmented_Data!$Y80+Augmented_Data!$T80</f>
        <v>418.57</v>
      </c>
      <c r="AA80" s="16">
        <f>IF(Augmented_Data!Q80="0 delivery charge",Augmented_Data!Z80-Augmented_Data!T80,Augmented_Data!Z80*(1-Augmented_Data!Q80))</f>
        <v>378.57</v>
      </c>
    </row>
    <row r="81" spans="1:27" x14ac:dyDescent="0.3">
      <c r="A81" s="11" t="s">
        <v>21</v>
      </c>
      <c r="B81" s="11" t="str">
        <f>_xlfn.CONCAT(Augmented_Data!$C81," ",Augmented_Data!$D81)</f>
        <v>John Ramirez</v>
      </c>
      <c r="C81" s="11" t="s">
        <v>121</v>
      </c>
      <c r="D81" s="11" t="s">
        <v>203</v>
      </c>
      <c r="E81" s="11">
        <v>28</v>
      </c>
      <c r="F81" s="11" t="s">
        <v>290</v>
      </c>
      <c r="G81" s="11" t="s">
        <v>294</v>
      </c>
      <c r="H81" s="11" t="s">
        <v>302</v>
      </c>
      <c r="I81" s="11" t="s">
        <v>402</v>
      </c>
      <c r="J81" s="11" t="s">
        <v>553</v>
      </c>
      <c r="K81" s="12">
        <v>45443</v>
      </c>
      <c r="L81" s="11" t="s">
        <v>1053</v>
      </c>
      <c r="M81" s="11" t="s">
        <v>1525</v>
      </c>
      <c r="N81" s="11">
        <v>481.48</v>
      </c>
      <c r="O81" s="11">
        <v>4</v>
      </c>
      <c r="P81" s="11" t="s">
        <v>1549</v>
      </c>
      <c r="Q81" s="11" t="str">
        <f>_xlfn.IFS(Augmented_Data!$P81="FLAT8","8%",Augmented_Data!$P81="FLAT10","10%",Augmented_Data!$P81="FLAT15","15%",Augmented_Data!$P81="FLAT20","20%",Augmented_Data!$P81="DEL0","0 delivery charge")</f>
        <v>10%</v>
      </c>
      <c r="R81" s="11">
        <v>1</v>
      </c>
      <c r="S81" s="11" t="str">
        <f>_xlfn.IFS(Augmented_Data!U81-Augmented_Data!K81=Augmented_Data!$R81,"Intime",Augmented_Data!U81-Augmented_Data!K81&lt;Augmented_Data!R81,"Before Time",Augmented_Data!U81-Augmented_Data!K81&gt;Augmented_Data!R81,"Late")</f>
        <v>Late</v>
      </c>
      <c r="T81" s="11">
        <v>36</v>
      </c>
      <c r="U81" s="12">
        <v>45447</v>
      </c>
      <c r="V81" s="11">
        <f>DATEDIF(Augmented_Data!$K81,Augmented_Data!$U81,"D")</f>
        <v>4</v>
      </c>
      <c r="W81" s="11" t="s">
        <v>1605</v>
      </c>
      <c r="X81" s="11">
        <f>Augmented_Data!$Z81-Augmented_Data!$AA81</f>
        <v>196.19200000000001</v>
      </c>
      <c r="Y81" s="11">
        <f>Augmented_Data!$N81*Augmented_Data!$O81</f>
        <v>1925.92</v>
      </c>
      <c r="Z81" s="11">
        <f>Augmented_Data!$Y81+Augmented_Data!$T81</f>
        <v>1961.92</v>
      </c>
      <c r="AA81" s="13">
        <f>IF(Augmented_Data!Q81="0 delivery charge",Augmented_Data!Z81-Augmented_Data!T81,Augmented_Data!Z81*(1-Augmented_Data!Q81))</f>
        <v>1765.7280000000001</v>
      </c>
    </row>
    <row r="82" spans="1:27" x14ac:dyDescent="0.3">
      <c r="A82" s="14" t="s">
        <v>66</v>
      </c>
      <c r="B82" s="14" t="str">
        <f>_xlfn.CONCAT(Augmented_Data!$C82," ",Augmented_Data!$D82)</f>
        <v>Debra Hayes</v>
      </c>
      <c r="C82" s="14" t="s">
        <v>127</v>
      </c>
      <c r="D82" s="14" t="s">
        <v>247</v>
      </c>
      <c r="E82" s="14">
        <v>33</v>
      </c>
      <c r="F82" s="14" t="s">
        <v>288</v>
      </c>
      <c r="G82" s="14" t="s">
        <v>297</v>
      </c>
      <c r="H82" s="14" t="s">
        <v>347</v>
      </c>
      <c r="I82" s="14" t="s">
        <v>447</v>
      </c>
      <c r="J82" s="14" t="s">
        <v>579</v>
      </c>
      <c r="K82" s="15">
        <v>45675</v>
      </c>
      <c r="L82" s="14" t="s">
        <v>1079</v>
      </c>
      <c r="M82" s="14" t="s">
        <v>1497</v>
      </c>
      <c r="N82" s="14">
        <v>308.88</v>
      </c>
      <c r="O82" s="14">
        <v>3</v>
      </c>
      <c r="P82" s="14" t="s">
        <v>1548</v>
      </c>
      <c r="Q82" s="14" t="str">
        <f>_xlfn.IFS(Augmented_Data!$P82="FLAT8","8%",Augmented_Data!$P82="FLAT10","10%",Augmented_Data!$P82="FLAT15","15%",Augmented_Data!$P82="FLAT20","20%",Augmented_Data!$P82="DEL0","0 delivery charge")</f>
        <v>15%</v>
      </c>
      <c r="R82" s="14">
        <v>4</v>
      </c>
      <c r="S82" s="14" t="str">
        <f>_xlfn.IFS(Augmented_Data!U82-Augmented_Data!K82=Augmented_Data!$R82,"Intime",Augmented_Data!U82-Augmented_Data!K82&lt;Augmented_Data!R82,"Before Time",Augmented_Data!U82-Augmented_Data!K82&gt;Augmented_Data!R82,"Late")</f>
        <v>Before Time</v>
      </c>
      <c r="T82" s="14">
        <v>48</v>
      </c>
      <c r="U82" s="15">
        <v>45678</v>
      </c>
      <c r="V82" s="14">
        <f>DATEDIF(Augmented_Data!$K82,Augmented_Data!$U82,"D")</f>
        <v>3</v>
      </c>
      <c r="W82" s="14" t="s">
        <v>1631</v>
      </c>
      <c r="X82" s="14">
        <f>Augmented_Data!$Z82-Augmented_Data!$AA82</f>
        <v>146.19600000000003</v>
      </c>
      <c r="Y82" s="14">
        <f>Augmented_Data!$N82*Augmented_Data!$O82</f>
        <v>926.64</v>
      </c>
      <c r="Z82" s="14">
        <f>Augmented_Data!$Y82+Augmented_Data!$T82</f>
        <v>974.64</v>
      </c>
      <c r="AA82" s="16">
        <f>IF(Augmented_Data!Q82="0 delivery charge",Augmented_Data!Z82-Augmented_Data!T82,Augmented_Data!Z82*(1-Augmented_Data!Q82))</f>
        <v>828.44399999999996</v>
      </c>
    </row>
    <row r="83" spans="1:27" x14ac:dyDescent="0.3">
      <c r="A83" s="11" t="s">
        <v>38</v>
      </c>
      <c r="B83" s="11" t="str">
        <f>_xlfn.CONCAT(Augmented_Data!$C83," ",Augmented_Data!$D83)</f>
        <v>Christian Clayton</v>
      </c>
      <c r="C83" s="11" t="s">
        <v>138</v>
      </c>
      <c r="D83" s="11" t="s">
        <v>219</v>
      </c>
      <c r="E83" s="11">
        <v>39</v>
      </c>
      <c r="F83" s="11" t="s">
        <v>289</v>
      </c>
      <c r="G83" s="11" t="s">
        <v>293</v>
      </c>
      <c r="H83" s="11" t="s">
        <v>319</v>
      </c>
      <c r="I83" s="11" t="s">
        <v>419</v>
      </c>
      <c r="J83" s="11" t="s">
        <v>580</v>
      </c>
      <c r="K83" s="12">
        <v>45525</v>
      </c>
      <c r="L83" s="11" t="s">
        <v>1080</v>
      </c>
      <c r="M83" s="11" t="s">
        <v>1536</v>
      </c>
      <c r="N83" s="11">
        <v>403.03</v>
      </c>
      <c r="O83" s="11">
        <v>1</v>
      </c>
      <c r="P83" s="11" t="s">
        <v>1550</v>
      </c>
      <c r="Q83" s="11" t="str">
        <f>_xlfn.IFS(Augmented_Data!$P83="FLAT8","8%",Augmented_Data!$P83="FLAT10","10%",Augmented_Data!$P83="FLAT15","15%",Augmented_Data!$P83="FLAT20","20%",Augmented_Data!$P83="DEL0","0 delivery charge")</f>
        <v>20%</v>
      </c>
      <c r="R83" s="11">
        <v>3</v>
      </c>
      <c r="S83" s="11" t="str">
        <f>_xlfn.IFS(Augmented_Data!U83-Augmented_Data!K83=Augmented_Data!$R83,"Intime",Augmented_Data!U83-Augmented_Data!K83&lt;Augmented_Data!R83,"Before Time",Augmented_Data!U83-Augmented_Data!K83&gt;Augmented_Data!R83,"Late")</f>
        <v>Before Time</v>
      </c>
      <c r="T83" s="11">
        <v>52</v>
      </c>
      <c r="U83" s="12">
        <v>45526</v>
      </c>
      <c r="V83" s="11">
        <f>DATEDIF(Augmented_Data!$K83,Augmented_Data!$U83,"D")</f>
        <v>1</v>
      </c>
      <c r="W83" s="11" t="s">
        <v>1632</v>
      </c>
      <c r="X83" s="11">
        <f>Augmented_Data!$Z83-Augmented_Data!$AA83</f>
        <v>91.005999999999972</v>
      </c>
      <c r="Y83" s="11">
        <f>Augmented_Data!$N83*Augmented_Data!$O83</f>
        <v>403.03</v>
      </c>
      <c r="Z83" s="11">
        <f>Augmented_Data!$Y83+Augmented_Data!$T83</f>
        <v>455.03</v>
      </c>
      <c r="AA83" s="13">
        <f>IF(Augmented_Data!Q83="0 delivery charge",Augmented_Data!Z83-Augmented_Data!T83,Augmented_Data!Z83*(1-Augmented_Data!Q83))</f>
        <v>364.024</v>
      </c>
    </row>
    <row r="84" spans="1:27" x14ac:dyDescent="0.3">
      <c r="A84" s="14" t="s">
        <v>77</v>
      </c>
      <c r="B84" s="14" t="str">
        <f>_xlfn.CONCAT(Augmented_Data!$C84," ",Augmented_Data!$D84)</f>
        <v>William Mann</v>
      </c>
      <c r="C84" s="14" t="s">
        <v>169</v>
      </c>
      <c r="D84" s="14" t="s">
        <v>255</v>
      </c>
      <c r="E84" s="14">
        <v>21</v>
      </c>
      <c r="F84" s="14" t="s">
        <v>288</v>
      </c>
      <c r="G84" s="14" t="s">
        <v>292</v>
      </c>
      <c r="H84" s="14" t="s">
        <v>358</v>
      </c>
      <c r="I84" s="14" t="s">
        <v>458</v>
      </c>
      <c r="J84" s="14" t="s">
        <v>581</v>
      </c>
      <c r="K84" s="15">
        <v>45041</v>
      </c>
      <c r="L84" s="14" t="s">
        <v>1081</v>
      </c>
      <c r="M84" s="14" t="s">
        <v>1501</v>
      </c>
      <c r="N84" s="14">
        <v>330.11</v>
      </c>
      <c r="O84" s="14">
        <v>2</v>
      </c>
      <c r="P84" s="14" t="s">
        <v>2047</v>
      </c>
      <c r="Q84" s="14" t="str">
        <f>_xlfn.IFS(Augmented_Data!$P84="FLAT8","8%",Augmented_Data!$P84="FLAT10","10%",Augmented_Data!$P84="FLAT15","15%",Augmented_Data!$P84="FLAT20","20%",Augmented_Data!$P84="DEL0","0 delivery charge")</f>
        <v>8%</v>
      </c>
      <c r="R84" s="14">
        <v>3</v>
      </c>
      <c r="S84" s="14" t="str">
        <f>_xlfn.IFS(Augmented_Data!U84-Augmented_Data!K84=Augmented_Data!$R84,"Intime",Augmented_Data!U84-Augmented_Data!K84&lt;Augmented_Data!R84,"Before Time",Augmented_Data!U84-Augmented_Data!K84&gt;Augmented_Data!R84,"Late")</f>
        <v>Late</v>
      </c>
      <c r="T84" s="14">
        <v>64</v>
      </c>
      <c r="U84" s="15">
        <v>45046</v>
      </c>
      <c r="V84" s="14">
        <f>DATEDIF(Augmented_Data!$K84,Augmented_Data!$U84,"D")</f>
        <v>5</v>
      </c>
      <c r="W84" s="14" t="s">
        <v>1633</v>
      </c>
      <c r="X84" s="14">
        <f>Augmented_Data!$Z84-Augmented_Data!$AA84</f>
        <v>57.937599999999975</v>
      </c>
      <c r="Y84" s="14">
        <f>Augmented_Data!$N84*Augmented_Data!$O84</f>
        <v>660.22</v>
      </c>
      <c r="Z84" s="14">
        <f>Augmented_Data!$Y84+Augmented_Data!$T84</f>
        <v>724.22</v>
      </c>
      <c r="AA84" s="16">
        <f>IF(Augmented_Data!Q84="0 delivery charge",Augmented_Data!Z84-Augmented_Data!T84,Augmented_Data!Z84*(1-Augmented_Data!Q84))</f>
        <v>666.28240000000005</v>
      </c>
    </row>
    <row r="85" spans="1:27" x14ac:dyDescent="0.3">
      <c r="A85" s="11" t="s">
        <v>21</v>
      </c>
      <c r="B85" s="11" t="str">
        <f>_xlfn.CONCAT(Augmented_Data!$C85," ",Augmented_Data!$D85)</f>
        <v>John Ramirez</v>
      </c>
      <c r="C85" s="11" t="s">
        <v>121</v>
      </c>
      <c r="D85" s="11" t="s">
        <v>203</v>
      </c>
      <c r="E85" s="11">
        <v>28</v>
      </c>
      <c r="F85" s="11" t="s">
        <v>290</v>
      </c>
      <c r="G85" s="11" t="s">
        <v>294</v>
      </c>
      <c r="H85" s="11" t="s">
        <v>302</v>
      </c>
      <c r="I85" s="11" t="s">
        <v>402</v>
      </c>
      <c r="J85" s="11" t="s">
        <v>578</v>
      </c>
      <c r="K85" s="12">
        <v>45322</v>
      </c>
      <c r="L85" s="11" t="s">
        <v>1078</v>
      </c>
      <c r="M85" s="11" t="s">
        <v>1520</v>
      </c>
      <c r="N85" s="11">
        <v>62.42</v>
      </c>
      <c r="O85" s="11">
        <v>1</v>
      </c>
      <c r="P85" s="11" t="s">
        <v>1550</v>
      </c>
      <c r="Q85" s="11" t="str">
        <f>_xlfn.IFS(Augmented_Data!$P85="FLAT8","8%",Augmented_Data!$P85="FLAT10","10%",Augmented_Data!$P85="FLAT15","15%",Augmented_Data!$P85="FLAT20","20%",Augmented_Data!$P85="DEL0","0 delivery charge")</f>
        <v>20%</v>
      </c>
      <c r="R85" s="11">
        <v>6</v>
      </c>
      <c r="S85" s="11" t="str">
        <f>_xlfn.IFS(Augmented_Data!U85-Augmented_Data!K85=Augmented_Data!$R85,"Intime",Augmented_Data!U85-Augmented_Data!K85&lt;Augmented_Data!R85,"Before Time",Augmented_Data!U85-Augmented_Data!K85&gt;Augmented_Data!R85,"Late")</f>
        <v>Late</v>
      </c>
      <c r="T85" s="11">
        <v>53</v>
      </c>
      <c r="U85" s="12">
        <v>45329</v>
      </c>
      <c r="V85" s="11">
        <f>DATEDIF(Augmented_Data!$K85,Augmented_Data!$U85,"D")</f>
        <v>7</v>
      </c>
      <c r="W85" s="11" t="s">
        <v>1630</v>
      </c>
      <c r="X85" s="11">
        <f>Augmented_Data!$Z85-Augmented_Data!$AA85</f>
        <v>23.083999999999989</v>
      </c>
      <c r="Y85" s="11">
        <f>Augmented_Data!$N85*Augmented_Data!$O85</f>
        <v>62.42</v>
      </c>
      <c r="Z85" s="11">
        <f>Augmented_Data!$Y85+Augmented_Data!$T85</f>
        <v>115.42</v>
      </c>
      <c r="AA85" s="13">
        <f>IF(Augmented_Data!Q85="0 delivery charge",Augmented_Data!Z85-Augmented_Data!T85,Augmented_Data!Z85*(1-Augmented_Data!Q85))</f>
        <v>92.336000000000013</v>
      </c>
    </row>
    <row r="86" spans="1:27" x14ac:dyDescent="0.3">
      <c r="A86" s="14" t="s">
        <v>78</v>
      </c>
      <c r="B86" s="14" t="str">
        <f>_xlfn.CONCAT(Augmented_Data!$C86," ",Augmented_Data!$D86)</f>
        <v>Kelli Smith</v>
      </c>
      <c r="C86" s="14" t="s">
        <v>170</v>
      </c>
      <c r="D86" s="14" t="s">
        <v>240</v>
      </c>
      <c r="E86" s="14">
        <v>18</v>
      </c>
      <c r="F86" s="14" t="s">
        <v>289</v>
      </c>
      <c r="G86" s="14" t="s">
        <v>292</v>
      </c>
      <c r="H86" s="14" t="s">
        <v>359</v>
      </c>
      <c r="I86" s="14" t="s">
        <v>459</v>
      </c>
      <c r="J86" s="14" t="s">
        <v>583</v>
      </c>
      <c r="K86" s="15">
        <v>45625</v>
      </c>
      <c r="L86" s="14" t="s">
        <v>1083</v>
      </c>
      <c r="M86" s="14" t="s">
        <v>1501</v>
      </c>
      <c r="N86" s="14">
        <v>330.11</v>
      </c>
      <c r="O86" s="14">
        <v>1</v>
      </c>
      <c r="P86" s="14" t="s">
        <v>1550</v>
      </c>
      <c r="Q86" s="14" t="str">
        <f>_xlfn.IFS(Augmented_Data!$P86="FLAT8","8%",Augmented_Data!$P86="FLAT10","10%",Augmented_Data!$P86="FLAT15","15%",Augmented_Data!$P86="FLAT20","20%",Augmented_Data!$P86="DEL0","0 delivery charge")</f>
        <v>20%</v>
      </c>
      <c r="R86" s="14">
        <v>4</v>
      </c>
      <c r="S86" s="14" t="str">
        <f>_xlfn.IFS(Augmented_Data!U86-Augmented_Data!K86=Augmented_Data!$R86,"Intime",Augmented_Data!U86-Augmented_Data!K86&lt;Augmented_Data!R86,"Before Time",Augmented_Data!U86-Augmented_Data!K86&gt;Augmented_Data!R86,"Late")</f>
        <v>Before Time</v>
      </c>
      <c r="T86" s="14">
        <v>67</v>
      </c>
      <c r="U86" s="15">
        <v>45627</v>
      </c>
      <c r="V86" s="14">
        <f>DATEDIF(Augmented_Data!$K86,Augmented_Data!$U86,"D")</f>
        <v>2</v>
      </c>
      <c r="W86" s="14" t="s">
        <v>1635</v>
      </c>
      <c r="X86" s="14">
        <f>Augmented_Data!$Z86-Augmented_Data!$AA86</f>
        <v>79.421999999999969</v>
      </c>
      <c r="Y86" s="14">
        <f>Augmented_Data!$N86*Augmented_Data!$O86</f>
        <v>330.11</v>
      </c>
      <c r="Z86" s="14">
        <f>Augmented_Data!$Y86+Augmented_Data!$T86</f>
        <v>397.11</v>
      </c>
      <c r="AA86" s="16">
        <f>IF(Augmented_Data!Q86="0 delivery charge",Augmented_Data!Z86-Augmented_Data!T86,Augmented_Data!Z86*(1-Augmented_Data!Q86))</f>
        <v>317.68800000000005</v>
      </c>
    </row>
    <row r="87" spans="1:27" x14ac:dyDescent="0.3">
      <c r="A87" s="11" t="s">
        <v>48</v>
      </c>
      <c r="B87" s="11" t="str">
        <f>_xlfn.CONCAT(Augmented_Data!$C87," ",Augmented_Data!$D87)</f>
        <v>Heather Schneider</v>
      </c>
      <c r="C87" s="11" t="s">
        <v>146</v>
      </c>
      <c r="D87" s="11" t="s">
        <v>229</v>
      </c>
      <c r="E87" s="11">
        <v>48</v>
      </c>
      <c r="F87" s="11" t="s">
        <v>289</v>
      </c>
      <c r="G87" s="11" t="s">
        <v>296</v>
      </c>
      <c r="H87" s="11" t="s">
        <v>329</v>
      </c>
      <c r="I87" s="11" t="s">
        <v>429</v>
      </c>
      <c r="J87" s="11" t="s">
        <v>584</v>
      </c>
      <c r="K87" s="12">
        <v>45505</v>
      </c>
      <c r="L87" s="11" t="s">
        <v>1084</v>
      </c>
      <c r="M87" s="11" t="s">
        <v>1505</v>
      </c>
      <c r="N87" s="11">
        <v>48.45</v>
      </c>
      <c r="O87" s="11">
        <v>1</v>
      </c>
      <c r="P87" s="11" t="s">
        <v>1548</v>
      </c>
      <c r="Q87" s="11" t="str">
        <f>_xlfn.IFS(Augmented_Data!$P87="FLAT8","8%",Augmented_Data!$P87="FLAT10","10%",Augmented_Data!$P87="FLAT15","15%",Augmented_Data!$P87="FLAT20","20%",Augmented_Data!$P87="DEL0","0 delivery charge")</f>
        <v>15%</v>
      </c>
      <c r="R87" s="11">
        <v>6</v>
      </c>
      <c r="S87" s="11" t="str">
        <f>_xlfn.IFS(Augmented_Data!U87-Augmented_Data!K87=Augmented_Data!$R87,"Intime",Augmented_Data!U87-Augmented_Data!K87&lt;Augmented_Data!R87,"Before Time",Augmented_Data!U87-Augmented_Data!K87&gt;Augmented_Data!R87,"Late")</f>
        <v>Late</v>
      </c>
      <c r="T87" s="11">
        <v>66</v>
      </c>
      <c r="U87" s="12">
        <v>45512</v>
      </c>
      <c r="V87" s="11">
        <f>DATEDIF(Augmented_Data!$K87,Augmented_Data!$U87,"D")</f>
        <v>7</v>
      </c>
      <c r="W87" s="11" t="s">
        <v>1636</v>
      </c>
      <c r="X87" s="11">
        <f>Augmented_Data!$Z87-Augmented_Data!$AA87</f>
        <v>17.167500000000004</v>
      </c>
      <c r="Y87" s="11">
        <f>Augmented_Data!$N87*Augmented_Data!$O87</f>
        <v>48.45</v>
      </c>
      <c r="Z87" s="11">
        <f>Augmented_Data!$Y87+Augmented_Data!$T87</f>
        <v>114.45</v>
      </c>
      <c r="AA87" s="13">
        <f>IF(Augmented_Data!Q87="0 delivery charge",Augmented_Data!Z87-Augmented_Data!T87,Augmented_Data!Z87*(1-Augmented_Data!Q87))</f>
        <v>97.282499999999999</v>
      </c>
    </row>
    <row r="88" spans="1:27" x14ac:dyDescent="0.3">
      <c r="A88" s="14" t="s">
        <v>69</v>
      </c>
      <c r="B88" s="14" t="str">
        <f>_xlfn.CONCAT(Augmented_Data!$C88," ",Augmented_Data!$D88)</f>
        <v>Sharon Thompson</v>
      </c>
      <c r="C88" s="14" t="s">
        <v>163</v>
      </c>
      <c r="D88" s="14" t="s">
        <v>238</v>
      </c>
      <c r="E88" s="14">
        <v>57</v>
      </c>
      <c r="F88" s="14" t="s">
        <v>289</v>
      </c>
      <c r="G88" s="14" t="s">
        <v>298</v>
      </c>
      <c r="H88" s="14" t="s">
        <v>350</v>
      </c>
      <c r="I88" s="14" t="s">
        <v>450</v>
      </c>
      <c r="J88" s="14" t="s">
        <v>585</v>
      </c>
      <c r="K88" s="15">
        <v>45252</v>
      </c>
      <c r="L88" s="14" t="s">
        <v>1085</v>
      </c>
      <c r="M88" s="14" t="s">
        <v>1526</v>
      </c>
      <c r="N88" s="14">
        <v>405</v>
      </c>
      <c r="O88" s="14">
        <v>2</v>
      </c>
      <c r="P88" s="14" t="s">
        <v>1547</v>
      </c>
      <c r="Q88" s="14" t="str">
        <f>_xlfn.IFS(Augmented_Data!$P88="FLAT8","8%",Augmented_Data!$P88="FLAT10","10%",Augmented_Data!$P88="FLAT15","15%",Augmented_Data!$P88="FLAT20","20%",Augmented_Data!$P88="DEL0","0 delivery charge")</f>
        <v>0 delivery charge</v>
      </c>
      <c r="R88" s="14">
        <v>4</v>
      </c>
      <c r="S88" s="14" t="str">
        <f>_xlfn.IFS(Augmented_Data!U88-Augmented_Data!K88=Augmented_Data!$R88,"Intime",Augmented_Data!U88-Augmented_Data!K88&lt;Augmented_Data!R88,"Before Time",Augmented_Data!U88-Augmented_Data!K88&gt;Augmented_Data!R88,"Late")</f>
        <v>Late</v>
      </c>
      <c r="T88" s="14">
        <v>70</v>
      </c>
      <c r="U88" s="15">
        <v>45257</v>
      </c>
      <c r="V88" s="14">
        <f>DATEDIF(Augmented_Data!$K88,Augmented_Data!$U88,"D")</f>
        <v>5</v>
      </c>
      <c r="W88" s="14" t="s">
        <v>1637</v>
      </c>
      <c r="X88" s="14">
        <f>Augmented_Data!$Z88-Augmented_Data!$AA88</f>
        <v>70</v>
      </c>
      <c r="Y88" s="14">
        <f>Augmented_Data!$N88*Augmented_Data!$O88</f>
        <v>810</v>
      </c>
      <c r="Z88" s="14">
        <f>Augmented_Data!$Y88+Augmented_Data!$T88</f>
        <v>880</v>
      </c>
      <c r="AA88" s="16">
        <f>IF(Augmented_Data!Q88="0 delivery charge",Augmented_Data!Z88-Augmented_Data!T88,Augmented_Data!Z88*(1-Augmented_Data!Q88))</f>
        <v>810</v>
      </c>
    </row>
    <row r="89" spans="1:27" x14ac:dyDescent="0.3">
      <c r="A89" s="11" t="s">
        <v>69</v>
      </c>
      <c r="B89" s="11" t="str">
        <f>_xlfn.CONCAT(Augmented_Data!$C89," ",Augmented_Data!$D89)</f>
        <v>Sharon Thompson</v>
      </c>
      <c r="C89" s="11" t="s">
        <v>163</v>
      </c>
      <c r="D89" s="11" t="s">
        <v>238</v>
      </c>
      <c r="E89" s="11">
        <v>57</v>
      </c>
      <c r="F89" s="11" t="s">
        <v>289</v>
      </c>
      <c r="G89" s="11" t="s">
        <v>298</v>
      </c>
      <c r="H89" s="11" t="s">
        <v>350</v>
      </c>
      <c r="I89" s="11" t="s">
        <v>450</v>
      </c>
      <c r="J89" s="11" t="s">
        <v>586</v>
      </c>
      <c r="K89" s="12">
        <v>45595</v>
      </c>
      <c r="L89" s="11" t="s">
        <v>1086</v>
      </c>
      <c r="M89" s="11" t="s">
        <v>1518</v>
      </c>
      <c r="N89" s="11">
        <v>496.59</v>
      </c>
      <c r="O89" s="11">
        <v>2</v>
      </c>
      <c r="P89" s="11" t="s">
        <v>1549</v>
      </c>
      <c r="Q89" s="11" t="str">
        <f>_xlfn.IFS(Augmented_Data!$P89="FLAT8","8%",Augmented_Data!$P89="FLAT10","10%",Augmented_Data!$P89="FLAT15","15%",Augmented_Data!$P89="FLAT20","20%",Augmented_Data!$P89="DEL0","0 delivery charge")</f>
        <v>10%</v>
      </c>
      <c r="R89" s="11">
        <v>1</v>
      </c>
      <c r="S89" s="11" t="str">
        <f>_xlfn.IFS(Augmented_Data!U89-Augmented_Data!K89=Augmented_Data!$R89,"Intime",Augmented_Data!U89-Augmented_Data!K89&lt;Augmented_Data!R89,"Before Time",Augmented_Data!U89-Augmented_Data!K89&gt;Augmented_Data!R89,"Late")</f>
        <v>Late</v>
      </c>
      <c r="T89" s="11">
        <v>46</v>
      </c>
      <c r="U89" s="12">
        <v>45598</v>
      </c>
      <c r="V89" s="11">
        <f>DATEDIF(Augmented_Data!$K89,Augmented_Data!$U89,"D")</f>
        <v>3</v>
      </c>
      <c r="W89" s="11" t="s">
        <v>1638</v>
      </c>
      <c r="X89" s="11">
        <f>Augmented_Data!$Z89-Augmented_Data!$AA89</f>
        <v>103.91800000000001</v>
      </c>
      <c r="Y89" s="11">
        <f>Augmented_Data!$N89*Augmented_Data!$O89</f>
        <v>993.18</v>
      </c>
      <c r="Z89" s="11">
        <f>Augmented_Data!$Y89+Augmented_Data!$T89</f>
        <v>1039.1799999999998</v>
      </c>
      <c r="AA89" s="13">
        <f>IF(Augmented_Data!Q89="0 delivery charge",Augmented_Data!Z89-Augmented_Data!T89,Augmented_Data!Z89*(1-Augmented_Data!Q89))</f>
        <v>935.26199999999983</v>
      </c>
    </row>
    <row r="90" spans="1:27" x14ac:dyDescent="0.3">
      <c r="A90" s="14" t="s">
        <v>26</v>
      </c>
      <c r="B90" s="14" t="str">
        <f>_xlfn.CONCAT(Augmented_Data!$C90," ",Augmented_Data!$D90)</f>
        <v>Marcus Valenzuela</v>
      </c>
      <c r="C90" s="14" t="s">
        <v>126</v>
      </c>
      <c r="D90" s="14" t="s">
        <v>208</v>
      </c>
      <c r="E90" s="14">
        <v>39</v>
      </c>
      <c r="F90" s="14" t="s">
        <v>288</v>
      </c>
      <c r="G90" s="14" t="s">
        <v>291</v>
      </c>
      <c r="H90" s="14" t="s">
        <v>307</v>
      </c>
      <c r="I90" s="14" t="s">
        <v>407</v>
      </c>
      <c r="J90" s="14" t="s">
        <v>587</v>
      </c>
      <c r="K90" s="15">
        <v>45227</v>
      </c>
      <c r="L90" s="14" t="s">
        <v>1087</v>
      </c>
      <c r="M90" s="14" t="s">
        <v>1505</v>
      </c>
      <c r="N90" s="14">
        <v>48.45</v>
      </c>
      <c r="O90" s="14">
        <v>1</v>
      </c>
      <c r="P90" s="14" t="s">
        <v>1550</v>
      </c>
      <c r="Q90" s="14" t="str">
        <f>_xlfn.IFS(Augmented_Data!$P90="FLAT8","8%",Augmented_Data!$P90="FLAT10","10%",Augmented_Data!$P90="FLAT15","15%",Augmented_Data!$P90="FLAT20","20%",Augmented_Data!$P90="DEL0","0 delivery charge")</f>
        <v>20%</v>
      </c>
      <c r="R90" s="14">
        <v>4</v>
      </c>
      <c r="S90" s="14" t="str">
        <f>_xlfn.IFS(Augmented_Data!U90-Augmented_Data!K90=Augmented_Data!$R90,"Intime",Augmented_Data!U90-Augmented_Data!K90&lt;Augmented_Data!R90,"Before Time",Augmented_Data!U90-Augmented_Data!K90&gt;Augmented_Data!R90,"Late")</f>
        <v>Before Time</v>
      </c>
      <c r="T90" s="14">
        <v>66</v>
      </c>
      <c r="U90" s="15">
        <v>45228</v>
      </c>
      <c r="V90" s="14">
        <f>DATEDIF(Augmented_Data!$K90,Augmented_Data!$U90,"D")</f>
        <v>1</v>
      </c>
      <c r="W90" s="14" t="s">
        <v>1639</v>
      </c>
      <c r="X90" s="14">
        <f>Augmented_Data!$Z90-Augmented_Data!$AA90</f>
        <v>22.89</v>
      </c>
      <c r="Y90" s="14">
        <f>Augmented_Data!$N90*Augmented_Data!$O90</f>
        <v>48.45</v>
      </c>
      <c r="Z90" s="14">
        <f>Augmented_Data!$Y90+Augmented_Data!$T90</f>
        <v>114.45</v>
      </c>
      <c r="AA90" s="16">
        <f>IF(Augmented_Data!Q90="0 delivery charge",Augmented_Data!Z90-Augmented_Data!T90,Augmented_Data!Z90*(1-Augmented_Data!Q90))</f>
        <v>91.56</v>
      </c>
    </row>
    <row r="91" spans="1:27" x14ac:dyDescent="0.3">
      <c r="A91" s="11" t="s">
        <v>79</v>
      </c>
      <c r="B91" s="11" t="str">
        <f>_xlfn.CONCAT(Augmented_Data!$C91," ",Augmented_Data!$D91)</f>
        <v>Joseph Gaines</v>
      </c>
      <c r="C91" s="11" t="s">
        <v>129</v>
      </c>
      <c r="D91" s="11" t="s">
        <v>256</v>
      </c>
      <c r="E91" s="11">
        <v>47</v>
      </c>
      <c r="F91" s="11" t="s">
        <v>290</v>
      </c>
      <c r="G91" s="11" t="s">
        <v>295</v>
      </c>
      <c r="H91" s="11" t="s">
        <v>360</v>
      </c>
      <c r="I91" s="11" t="s">
        <v>460</v>
      </c>
      <c r="J91" s="11" t="s">
        <v>588</v>
      </c>
      <c r="K91" s="12">
        <v>45076</v>
      </c>
      <c r="L91" s="11" t="s">
        <v>1088</v>
      </c>
      <c r="M91" s="11" t="s">
        <v>1528</v>
      </c>
      <c r="N91" s="11">
        <v>431.44</v>
      </c>
      <c r="O91" s="11">
        <v>1</v>
      </c>
      <c r="P91" s="11" t="s">
        <v>1547</v>
      </c>
      <c r="Q91" s="11" t="str">
        <f>_xlfn.IFS(Augmented_Data!$P91="FLAT8","8%",Augmented_Data!$P91="FLAT10","10%",Augmented_Data!$P91="FLAT15","15%",Augmented_Data!$P91="FLAT20","20%",Augmented_Data!$P91="DEL0","0 delivery charge")</f>
        <v>0 delivery charge</v>
      </c>
      <c r="R91" s="11">
        <v>7</v>
      </c>
      <c r="S91" s="11" t="str">
        <f>_xlfn.IFS(Augmented_Data!U91-Augmented_Data!K91=Augmented_Data!$R91,"Intime",Augmented_Data!U91-Augmented_Data!K91&lt;Augmented_Data!R91,"Before Time",Augmented_Data!U91-Augmented_Data!K91&gt;Augmented_Data!R91,"Late")</f>
        <v>Before Time</v>
      </c>
      <c r="T91" s="11">
        <v>35</v>
      </c>
      <c r="U91" s="12">
        <v>45080</v>
      </c>
      <c r="V91" s="11">
        <f>DATEDIF(Augmented_Data!$K91,Augmented_Data!$U91,"D")</f>
        <v>4</v>
      </c>
      <c r="W91" s="11" t="s">
        <v>1640</v>
      </c>
      <c r="X91" s="11">
        <f>Augmented_Data!$Z91-Augmented_Data!$AA91</f>
        <v>35</v>
      </c>
      <c r="Y91" s="11">
        <f>Augmented_Data!$N91*Augmented_Data!$O91</f>
        <v>431.44</v>
      </c>
      <c r="Z91" s="11">
        <f>Augmented_Data!$Y91+Augmented_Data!$T91</f>
        <v>466.44</v>
      </c>
      <c r="AA91" s="13">
        <f>IF(Augmented_Data!Q91="0 delivery charge",Augmented_Data!Z91-Augmented_Data!T91,Augmented_Data!Z91*(1-Augmented_Data!Q91))</f>
        <v>431.44</v>
      </c>
    </row>
    <row r="92" spans="1:27" x14ac:dyDescent="0.3">
      <c r="A92" s="14" t="s">
        <v>32</v>
      </c>
      <c r="B92" s="14" t="str">
        <f>_xlfn.CONCAT(Augmented_Data!$C92," ",Augmented_Data!$D92)</f>
        <v>Joshua Campbell</v>
      </c>
      <c r="C92" s="14" t="s">
        <v>132</v>
      </c>
      <c r="D92" s="14" t="s">
        <v>214</v>
      </c>
      <c r="E92" s="14">
        <v>24</v>
      </c>
      <c r="F92" s="14" t="s">
        <v>288</v>
      </c>
      <c r="G92" s="14" t="s">
        <v>293</v>
      </c>
      <c r="H92" s="14" t="s">
        <v>313</v>
      </c>
      <c r="I92" s="14" t="s">
        <v>413</v>
      </c>
      <c r="J92" s="14" t="s">
        <v>589</v>
      </c>
      <c r="K92" s="15">
        <v>45555</v>
      </c>
      <c r="L92" s="14" t="s">
        <v>1089</v>
      </c>
      <c r="M92" s="14" t="s">
        <v>1531</v>
      </c>
      <c r="N92" s="14">
        <v>286.07</v>
      </c>
      <c r="O92" s="14">
        <v>5</v>
      </c>
      <c r="P92" s="14" t="s">
        <v>1548</v>
      </c>
      <c r="Q92" s="14" t="str">
        <f>_xlfn.IFS(Augmented_Data!$P92="FLAT8","8%",Augmented_Data!$P92="FLAT10","10%",Augmented_Data!$P92="FLAT15","15%",Augmented_Data!$P92="FLAT20","20%",Augmented_Data!$P92="DEL0","0 delivery charge")</f>
        <v>15%</v>
      </c>
      <c r="R92" s="14">
        <v>5</v>
      </c>
      <c r="S92" s="14" t="str">
        <f>_xlfn.IFS(Augmented_Data!U92-Augmented_Data!K92=Augmented_Data!$R92,"Intime",Augmented_Data!U92-Augmented_Data!K92&lt;Augmented_Data!R92,"Before Time",Augmented_Data!U92-Augmented_Data!K92&gt;Augmented_Data!R92,"Late")</f>
        <v>Before Time</v>
      </c>
      <c r="T92" s="14">
        <v>65</v>
      </c>
      <c r="U92" s="15">
        <v>45558</v>
      </c>
      <c r="V92" s="14">
        <f>DATEDIF(Augmented_Data!$K92,Augmented_Data!$U92,"D")</f>
        <v>3</v>
      </c>
      <c r="W92" s="14" t="s">
        <v>1641</v>
      </c>
      <c r="X92" s="14">
        <f>Augmented_Data!$Z92-Augmented_Data!$AA92</f>
        <v>224.30250000000001</v>
      </c>
      <c r="Y92" s="14">
        <f>Augmented_Data!$N92*Augmented_Data!$O92</f>
        <v>1430.35</v>
      </c>
      <c r="Z92" s="14">
        <f>Augmented_Data!$Y92+Augmented_Data!$T92</f>
        <v>1495.35</v>
      </c>
      <c r="AA92" s="16">
        <f>IF(Augmented_Data!Q92="0 delivery charge",Augmented_Data!Z92-Augmented_Data!T92,Augmented_Data!Z92*(1-Augmented_Data!Q92))</f>
        <v>1271.0474999999999</v>
      </c>
    </row>
    <row r="93" spans="1:27" x14ac:dyDescent="0.3">
      <c r="A93" s="11" t="s">
        <v>21</v>
      </c>
      <c r="B93" s="11" t="str">
        <f>_xlfn.CONCAT(Augmented_Data!$C93," ",Augmented_Data!$D93)</f>
        <v>John Ramirez</v>
      </c>
      <c r="C93" s="11" t="s">
        <v>121</v>
      </c>
      <c r="D93" s="11" t="s">
        <v>203</v>
      </c>
      <c r="E93" s="11">
        <v>28</v>
      </c>
      <c r="F93" s="11" t="s">
        <v>290</v>
      </c>
      <c r="G93" s="11" t="s">
        <v>294</v>
      </c>
      <c r="H93" s="11" t="s">
        <v>302</v>
      </c>
      <c r="I93" s="11" t="s">
        <v>402</v>
      </c>
      <c r="J93" s="11" t="s">
        <v>590</v>
      </c>
      <c r="K93" s="12">
        <v>45495</v>
      </c>
      <c r="L93" s="11" t="s">
        <v>1090</v>
      </c>
      <c r="M93" s="11" t="s">
        <v>1516</v>
      </c>
      <c r="N93" s="11">
        <v>126.19</v>
      </c>
      <c r="O93" s="11">
        <v>2</v>
      </c>
      <c r="P93" s="11" t="s">
        <v>2047</v>
      </c>
      <c r="Q93" s="11" t="str">
        <f>_xlfn.IFS(Augmented_Data!$P93="FLAT8","8%",Augmented_Data!$P93="FLAT10","10%",Augmented_Data!$P93="FLAT15","15%",Augmented_Data!$P93="FLAT20","20%",Augmented_Data!$P93="DEL0","0 delivery charge")</f>
        <v>8%</v>
      </c>
      <c r="R93" s="11">
        <v>7</v>
      </c>
      <c r="S93" s="11" t="str">
        <f>_xlfn.IFS(Augmented_Data!U93-Augmented_Data!K93=Augmented_Data!$R93,"Intime",Augmented_Data!U93-Augmented_Data!K93&lt;Augmented_Data!R93,"Before Time",Augmented_Data!U93-Augmented_Data!K93&gt;Augmented_Data!R93,"Late")</f>
        <v>Before Time</v>
      </c>
      <c r="T93" s="11">
        <v>48</v>
      </c>
      <c r="U93" s="12">
        <v>45496</v>
      </c>
      <c r="V93" s="11">
        <f>DATEDIF(Augmented_Data!$K93,Augmented_Data!$U93,"D")</f>
        <v>1</v>
      </c>
      <c r="W93" s="11" t="s">
        <v>1642</v>
      </c>
      <c r="X93" s="11">
        <f>Augmented_Data!$Z93-Augmented_Data!$AA93</f>
        <v>24.030399999999986</v>
      </c>
      <c r="Y93" s="11">
        <f>Augmented_Data!$N93*Augmented_Data!$O93</f>
        <v>252.38</v>
      </c>
      <c r="Z93" s="11">
        <f>Augmented_Data!$Y93+Augmented_Data!$T93</f>
        <v>300.38</v>
      </c>
      <c r="AA93" s="13">
        <f>IF(Augmented_Data!Q93="0 delivery charge",Augmented_Data!Z93-Augmented_Data!T93,Augmented_Data!Z93*(1-Augmented_Data!Q93))</f>
        <v>276.34960000000001</v>
      </c>
    </row>
    <row r="94" spans="1:27" x14ac:dyDescent="0.3">
      <c r="A94" s="14" t="s">
        <v>46</v>
      </c>
      <c r="B94" s="14" t="str">
        <f>_xlfn.CONCAT(Augmented_Data!$C94," ",Augmented_Data!$D94)</f>
        <v>Lauren Long</v>
      </c>
      <c r="C94" s="14" t="s">
        <v>144</v>
      </c>
      <c r="D94" s="14" t="s">
        <v>227</v>
      </c>
      <c r="E94" s="14">
        <v>44</v>
      </c>
      <c r="F94" s="14" t="s">
        <v>288</v>
      </c>
      <c r="G94" s="14" t="s">
        <v>298</v>
      </c>
      <c r="H94" s="14" t="s">
        <v>327</v>
      </c>
      <c r="I94" s="14" t="s">
        <v>427</v>
      </c>
      <c r="J94" s="14" t="s">
        <v>591</v>
      </c>
      <c r="K94" s="15">
        <v>45307</v>
      </c>
      <c r="L94" s="14" t="s">
        <v>1091</v>
      </c>
      <c r="M94" s="14" t="s">
        <v>1537</v>
      </c>
      <c r="N94" s="14">
        <v>445.81</v>
      </c>
      <c r="O94" s="14">
        <v>5</v>
      </c>
      <c r="P94" s="14" t="s">
        <v>1548</v>
      </c>
      <c r="Q94" s="14" t="str">
        <f>_xlfn.IFS(Augmented_Data!$P94="FLAT8","8%",Augmented_Data!$P94="FLAT10","10%",Augmented_Data!$P94="FLAT15","15%",Augmented_Data!$P94="FLAT20","20%",Augmented_Data!$P94="DEL0","0 delivery charge")</f>
        <v>15%</v>
      </c>
      <c r="R94" s="14">
        <v>1</v>
      </c>
      <c r="S94" s="14" t="str">
        <f>_xlfn.IFS(Augmented_Data!U94-Augmented_Data!K94=Augmented_Data!$R94,"Intime",Augmented_Data!U94-Augmented_Data!K94&lt;Augmented_Data!R94,"Before Time",Augmented_Data!U94-Augmented_Data!K94&gt;Augmented_Data!R94,"Late")</f>
        <v>Late</v>
      </c>
      <c r="T94" s="14">
        <v>56</v>
      </c>
      <c r="U94" s="15">
        <v>45313</v>
      </c>
      <c r="V94" s="14">
        <f>DATEDIF(Augmented_Data!$K94,Augmented_Data!$U94,"D")</f>
        <v>6</v>
      </c>
      <c r="W94" s="14" t="s">
        <v>1643</v>
      </c>
      <c r="X94" s="14">
        <f>Augmented_Data!$Z94-Augmented_Data!$AA94</f>
        <v>342.75750000000016</v>
      </c>
      <c r="Y94" s="14">
        <f>Augmented_Data!$N94*Augmented_Data!$O94</f>
        <v>2229.0500000000002</v>
      </c>
      <c r="Z94" s="14">
        <f>Augmented_Data!$Y94+Augmented_Data!$T94</f>
        <v>2285.0500000000002</v>
      </c>
      <c r="AA94" s="16">
        <f>IF(Augmented_Data!Q94="0 delivery charge",Augmented_Data!Z94-Augmented_Data!T94,Augmented_Data!Z94*(1-Augmented_Data!Q94))</f>
        <v>1942.2925</v>
      </c>
    </row>
    <row r="95" spans="1:27" x14ac:dyDescent="0.3">
      <c r="A95" s="11" t="s">
        <v>80</v>
      </c>
      <c r="B95" s="11" t="str">
        <f>_xlfn.CONCAT(Augmented_Data!$C95," ",Augmented_Data!$D95)</f>
        <v>Amy Ellis</v>
      </c>
      <c r="C95" s="11" t="s">
        <v>131</v>
      </c>
      <c r="D95" s="11" t="s">
        <v>257</v>
      </c>
      <c r="E95" s="11">
        <v>44</v>
      </c>
      <c r="F95" s="11" t="s">
        <v>290</v>
      </c>
      <c r="G95" s="11" t="s">
        <v>296</v>
      </c>
      <c r="H95" s="11" t="s">
        <v>361</v>
      </c>
      <c r="I95" s="11" t="s">
        <v>461</v>
      </c>
      <c r="J95" s="11" t="s">
        <v>592</v>
      </c>
      <c r="K95" s="12">
        <v>45625</v>
      </c>
      <c r="L95" s="11" t="s">
        <v>1092</v>
      </c>
      <c r="M95" s="11" t="s">
        <v>1530</v>
      </c>
      <c r="N95" s="11">
        <v>369.03</v>
      </c>
      <c r="O95" s="11">
        <v>4</v>
      </c>
      <c r="P95" s="11" t="s">
        <v>1550</v>
      </c>
      <c r="Q95" s="11" t="str">
        <f>_xlfn.IFS(Augmented_Data!$P95="FLAT8","8%",Augmented_Data!$P95="FLAT10","10%",Augmented_Data!$P95="FLAT15","15%",Augmented_Data!$P95="FLAT20","20%",Augmented_Data!$P95="DEL0","0 delivery charge")</f>
        <v>20%</v>
      </c>
      <c r="R95" s="11">
        <v>4</v>
      </c>
      <c r="S95" s="11" t="str">
        <f>_xlfn.IFS(Augmented_Data!U95-Augmented_Data!K95=Augmented_Data!$R95,"Intime",Augmented_Data!U95-Augmented_Data!K95&lt;Augmented_Data!R95,"Before Time",Augmented_Data!U95-Augmented_Data!K95&gt;Augmented_Data!R95,"Late")</f>
        <v>Late</v>
      </c>
      <c r="T95" s="11">
        <v>56</v>
      </c>
      <c r="U95" s="12">
        <v>45630</v>
      </c>
      <c r="V95" s="11">
        <f>DATEDIF(Augmented_Data!$K95,Augmented_Data!$U95,"D")</f>
        <v>5</v>
      </c>
      <c r="W95" s="11" t="s">
        <v>1644</v>
      </c>
      <c r="X95" s="11">
        <f>Augmented_Data!$Z95-Augmented_Data!$AA95</f>
        <v>306.42399999999998</v>
      </c>
      <c r="Y95" s="11">
        <f>Augmented_Data!$N95*Augmented_Data!$O95</f>
        <v>1476.12</v>
      </c>
      <c r="Z95" s="11">
        <f>Augmented_Data!$Y95+Augmented_Data!$T95</f>
        <v>1532.12</v>
      </c>
      <c r="AA95" s="13">
        <f>IF(Augmented_Data!Q95="0 delivery charge",Augmented_Data!Z95-Augmented_Data!T95,Augmented_Data!Z95*(1-Augmented_Data!Q95))</f>
        <v>1225.6959999999999</v>
      </c>
    </row>
    <row r="96" spans="1:27" x14ac:dyDescent="0.3">
      <c r="A96" s="14" t="s">
        <v>81</v>
      </c>
      <c r="B96" s="14" t="str">
        <f>_xlfn.CONCAT(Augmented_Data!$C96," ",Augmented_Data!$D96)</f>
        <v>Beth Mason</v>
      </c>
      <c r="C96" s="14" t="s">
        <v>171</v>
      </c>
      <c r="D96" s="14" t="s">
        <v>258</v>
      </c>
      <c r="E96" s="14">
        <v>45</v>
      </c>
      <c r="F96" s="14" t="s">
        <v>290</v>
      </c>
      <c r="G96" s="14" t="s">
        <v>296</v>
      </c>
      <c r="H96" s="14" t="s">
        <v>362</v>
      </c>
      <c r="I96" s="14" t="s">
        <v>462</v>
      </c>
      <c r="J96" s="14" t="s">
        <v>593</v>
      </c>
      <c r="K96" s="15">
        <v>45504</v>
      </c>
      <c r="L96" s="14" t="s">
        <v>1093</v>
      </c>
      <c r="M96" s="14" t="s">
        <v>1538</v>
      </c>
      <c r="N96" s="14">
        <v>433.62</v>
      </c>
      <c r="O96" s="14">
        <v>2</v>
      </c>
      <c r="P96" s="14" t="s">
        <v>1550</v>
      </c>
      <c r="Q96" s="14" t="str">
        <f>_xlfn.IFS(Augmented_Data!$P96="FLAT8","8%",Augmented_Data!$P96="FLAT10","10%",Augmented_Data!$P96="FLAT15","15%",Augmented_Data!$P96="FLAT20","20%",Augmented_Data!$P96="DEL0","0 delivery charge")</f>
        <v>20%</v>
      </c>
      <c r="R96" s="14">
        <v>1</v>
      </c>
      <c r="S96" s="14" t="str">
        <f>_xlfn.IFS(Augmented_Data!U96-Augmented_Data!K96=Augmented_Data!$R96,"Intime",Augmented_Data!U96-Augmented_Data!K96&lt;Augmented_Data!R96,"Before Time",Augmented_Data!U96-Augmented_Data!K96&gt;Augmented_Data!R96,"Late")</f>
        <v>Late</v>
      </c>
      <c r="T96" s="14">
        <v>41</v>
      </c>
      <c r="U96" s="15">
        <v>45510</v>
      </c>
      <c r="V96" s="14">
        <f>DATEDIF(Augmented_Data!$K96,Augmented_Data!$U96,"D")</f>
        <v>6</v>
      </c>
      <c r="W96" s="14" t="s">
        <v>1645</v>
      </c>
      <c r="X96" s="14">
        <f>Augmented_Data!$Z96-Augmented_Data!$AA96</f>
        <v>181.64799999999991</v>
      </c>
      <c r="Y96" s="14">
        <f>Augmented_Data!$N96*Augmented_Data!$O96</f>
        <v>867.24</v>
      </c>
      <c r="Z96" s="14">
        <f>Augmented_Data!$Y96+Augmented_Data!$T96</f>
        <v>908.24</v>
      </c>
      <c r="AA96" s="16">
        <f>IF(Augmented_Data!Q96="0 delivery charge",Augmented_Data!Z96-Augmented_Data!T96,Augmented_Data!Z96*(1-Augmented_Data!Q96))</f>
        <v>726.5920000000001</v>
      </c>
    </row>
    <row r="97" spans="1:27" x14ac:dyDescent="0.3">
      <c r="A97" s="11" t="s">
        <v>70</v>
      </c>
      <c r="B97" s="11" t="str">
        <f>_xlfn.CONCAT(Augmented_Data!$C97," ",Augmented_Data!$D97)</f>
        <v>Sarah Butler</v>
      </c>
      <c r="C97" s="11" t="s">
        <v>164</v>
      </c>
      <c r="D97" s="11" t="s">
        <v>248</v>
      </c>
      <c r="E97" s="11">
        <v>64</v>
      </c>
      <c r="F97" s="11" t="s">
        <v>288</v>
      </c>
      <c r="G97" s="11" t="s">
        <v>291</v>
      </c>
      <c r="H97" s="11" t="s">
        <v>351</v>
      </c>
      <c r="I97" s="11" t="s">
        <v>451</v>
      </c>
      <c r="J97" s="11" t="s">
        <v>594</v>
      </c>
      <c r="K97" s="12">
        <v>45488</v>
      </c>
      <c r="L97" s="11" t="s">
        <v>1094</v>
      </c>
      <c r="M97" s="11" t="s">
        <v>1539</v>
      </c>
      <c r="N97" s="11">
        <v>235.63</v>
      </c>
      <c r="O97" s="11">
        <v>4</v>
      </c>
      <c r="P97" s="11" t="s">
        <v>1550</v>
      </c>
      <c r="Q97" s="11" t="str">
        <f>_xlfn.IFS(Augmented_Data!$P97="FLAT8","8%",Augmented_Data!$P97="FLAT10","10%",Augmented_Data!$P97="FLAT15","15%",Augmented_Data!$P97="FLAT20","20%",Augmented_Data!$P97="DEL0","0 delivery charge")</f>
        <v>20%</v>
      </c>
      <c r="R97" s="11">
        <v>2</v>
      </c>
      <c r="S97" s="11" t="str">
        <f>_xlfn.IFS(Augmented_Data!U97-Augmented_Data!K97=Augmented_Data!$R97,"Intime",Augmented_Data!U97-Augmented_Data!K97&lt;Augmented_Data!R97,"Before Time",Augmented_Data!U97-Augmented_Data!K97&gt;Augmented_Data!R97,"Late")</f>
        <v>Late</v>
      </c>
      <c r="T97" s="11">
        <v>60</v>
      </c>
      <c r="U97" s="12">
        <v>45495</v>
      </c>
      <c r="V97" s="11">
        <f>DATEDIF(Augmented_Data!$K97,Augmented_Data!$U97,"D")</f>
        <v>7</v>
      </c>
      <c r="W97" s="11" t="s">
        <v>1646</v>
      </c>
      <c r="X97" s="11">
        <f>Augmented_Data!$Z97-Augmented_Data!$AA97</f>
        <v>200.50399999999991</v>
      </c>
      <c r="Y97" s="11">
        <f>Augmented_Data!$N97*Augmented_Data!$O97</f>
        <v>942.52</v>
      </c>
      <c r="Z97" s="11">
        <f>Augmented_Data!$Y97+Augmented_Data!$T97</f>
        <v>1002.52</v>
      </c>
      <c r="AA97" s="13">
        <f>IF(Augmented_Data!Q97="0 delivery charge",Augmented_Data!Z97-Augmented_Data!T97,Augmented_Data!Z97*(1-Augmented_Data!Q97))</f>
        <v>802.01600000000008</v>
      </c>
    </row>
    <row r="98" spans="1:27" x14ac:dyDescent="0.3">
      <c r="A98" s="14" t="s">
        <v>40</v>
      </c>
      <c r="B98" s="14" t="str">
        <f>_xlfn.CONCAT(Augmented_Data!$C98," ",Augmented_Data!$D98)</f>
        <v>John Herrera</v>
      </c>
      <c r="C98" s="14" t="s">
        <v>121</v>
      </c>
      <c r="D98" s="14" t="s">
        <v>221</v>
      </c>
      <c r="E98" s="14">
        <v>64</v>
      </c>
      <c r="F98" s="14" t="s">
        <v>289</v>
      </c>
      <c r="G98" s="14" t="s">
        <v>292</v>
      </c>
      <c r="H98" s="14" t="s">
        <v>321</v>
      </c>
      <c r="I98" s="14" t="s">
        <v>421</v>
      </c>
      <c r="J98" s="14" t="s">
        <v>595</v>
      </c>
      <c r="K98" s="15">
        <v>45118</v>
      </c>
      <c r="L98" s="14" t="s">
        <v>1095</v>
      </c>
      <c r="M98" s="14" t="s">
        <v>1522</v>
      </c>
      <c r="N98" s="14">
        <v>158.53</v>
      </c>
      <c r="O98" s="14">
        <v>5</v>
      </c>
      <c r="P98" s="14" t="s">
        <v>1550</v>
      </c>
      <c r="Q98" s="14" t="str">
        <f>_xlfn.IFS(Augmented_Data!$P98="FLAT8","8%",Augmented_Data!$P98="FLAT10","10%",Augmented_Data!$P98="FLAT15","15%",Augmented_Data!$P98="FLAT20","20%",Augmented_Data!$P98="DEL0","0 delivery charge")</f>
        <v>20%</v>
      </c>
      <c r="R98" s="14">
        <v>1</v>
      </c>
      <c r="S98" s="14" t="str">
        <f>_xlfn.IFS(Augmented_Data!U98-Augmented_Data!K98=Augmented_Data!$R98,"Intime",Augmented_Data!U98-Augmented_Data!K98&lt;Augmented_Data!R98,"Before Time",Augmented_Data!U98-Augmented_Data!K98&gt;Augmented_Data!R98,"Late")</f>
        <v>Late</v>
      </c>
      <c r="T98" s="14">
        <v>57</v>
      </c>
      <c r="U98" s="15">
        <v>45125</v>
      </c>
      <c r="V98" s="14">
        <f>DATEDIF(Augmented_Data!$K98,Augmented_Data!$U98,"D")</f>
        <v>7</v>
      </c>
      <c r="W98" s="14" t="s">
        <v>1647</v>
      </c>
      <c r="X98" s="14">
        <f>Augmented_Data!$Z98-Augmented_Data!$AA98</f>
        <v>169.92999999999995</v>
      </c>
      <c r="Y98" s="14">
        <f>Augmented_Data!$N98*Augmented_Data!$O98</f>
        <v>792.65</v>
      </c>
      <c r="Z98" s="14">
        <f>Augmented_Data!$Y98+Augmented_Data!$T98</f>
        <v>849.65</v>
      </c>
      <c r="AA98" s="16">
        <f>IF(Augmented_Data!Q98="0 delivery charge",Augmented_Data!Z98-Augmented_Data!T98,Augmented_Data!Z98*(1-Augmented_Data!Q98))</f>
        <v>679.72</v>
      </c>
    </row>
    <row r="99" spans="1:27" x14ac:dyDescent="0.3">
      <c r="A99" s="11" t="s">
        <v>40</v>
      </c>
      <c r="B99" s="11" t="str">
        <f>_xlfn.CONCAT(Augmented_Data!$C99," ",Augmented_Data!$D99)</f>
        <v>John Herrera</v>
      </c>
      <c r="C99" s="11" t="s">
        <v>121</v>
      </c>
      <c r="D99" s="11" t="s">
        <v>221</v>
      </c>
      <c r="E99" s="11">
        <v>64</v>
      </c>
      <c r="F99" s="11" t="s">
        <v>289</v>
      </c>
      <c r="G99" s="11" t="s">
        <v>292</v>
      </c>
      <c r="H99" s="11" t="s">
        <v>321</v>
      </c>
      <c r="I99" s="11" t="s">
        <v>421</v>
      </c>
      <c r="J99" s="11" t="s">
        <v>596</v>
      </c>
      <c r="K99" s="12">
        <v>45183</v>
      </c>
      <c r="L99" s="11" t="s">
        <v>1096</v>
      </c>
      <c r="M99" s="11" t="s">
        <v>1501</v>
      </c>
      <c r="N99" s="11">
        <v>330.11</v>
      </c>
      <c r="O99" s="11">
        <v>3</v>
      </c>
      <c r="P99" s="11" t="s">
        <v>1548</v>
      </c>
      <c r="Q99" s="11" t="str">
        <f>_xlfn.IFS(Augmented_Data!$P99="FLAT8","8%",Augmented_Data!$P99="FLAT10","10%",Augmented_Data!$P99="FLAT15","15%",Augmented_Data!$P99="FLAT20","20%",Augmented_Data!$P99="DEL0","0 delivery charge")</f>
        <v>15%</v>
      </c>
      <c r="R99" s="11">
        <v>3</v>
      </c>
      <c r="S99" s="11" t="str">
        <f>_xlfn.IFS(Augmented_Data!U99-Augmented_Data!K99=Augmented_Data!$R99,"Intime",Augmented_Data!U99-Augmented_Data!K99&lt;Augmented_Data!R99,"Before Time",Augmented_Data!U99-Augmented_Data!K99&gt;Augmented_Data!R99,"Late")</f>
        <v>Intime</v>
      </c>
      <c r="T99" s="11">
        <v>65</v>
      </c>
      <c r="U99" s="12">
        <v>45186</v>
      </c>
      <c r="V99" s="11">
        <f>DATEDIF(Augmented_Data!$K99,Augmented_Data!$U99,"D")</f>
        <v>3</v>
      </c>
      <c r="W99" s="11" t="s">
        <v>1648</v>
      </c>
      <c r="X99" s="11">
        <f>Augmented_Data!$Z99-Augmented_Data!$AA99</f>
        <v>158.29949999999997</v>
      </c>
      <c r="Y99" s="11">
        <f>Augmented_Data!$N99*Augmented_Data!$O99</f>
        <v>990.33</v>
      </c>
      <c r="Z99" s="11">
        <f>Augmented_Data!$Y99+Augmented_Data!$T99</f>
        <v>1055.33</v>
      </c>
      <c r="AA99" s="13">
        <f>IF(Augmented_Data!Q99="0 delivery charge",Augmented_Data!Z99-Augmented_Data!T99,Augmented_Data!Z99*(1-Augmented_Data!Q99))</f>
        <v>897.03049999999996</v>
      </c>
    </row>
    <row r="100" spans="1:27" x14ac:dyDescent="0.3">
      <c r="A100" s="14" t="s">
        <v>81</v>
      </c>
      <c r="B100" s="14" t="str">
        <f>_xlfn.CONCAT(Augmented_Data!$C100," ",Augmented_Data!$D100)</f>
        <v>Beth Mason</v>
      </c>
      <c r="C100" s="14" t="s">
        <v>171</v>
      </c>
      <c r="D100" s="14" t="s">
        <v>258</v>
      </c>
      <c r="E100" s="14">
        <v>45</v>
      </c>
      <c r="F100" s="14" t="s">
        <v>290</v>
      </c>
      <c r="G100" s="14" t="s">
        <v>296</v>
      </c>
      <c r="H100" s="14" t="s">
        <v>362</v>
      </c>
      <c r="I100" s="14" t="s">
        <v>462</v>
      </c>
      <c r="J100" s="14" t="s">
        <v>597</v>
      </c>
      <c r="K100" s="15">
        <v>45673</v>
      </c>
      <c r="L100" s="14" t="s">
        <v>1097</v>
      </c>
      <c r="M100" s="14" t="s">
        <v>1510</v>
      </c>
      <c r="N100" s="14">
        <v>220.27</v>
      </c>
      <c r="O100" s="14">
        <v>2</v>
      </c>
      <c r="P100" s="14" t="s">
        <v>1550</v>
      </c>
      <c r="Q100" s="14" t="str">
        <f>_xlfn.IFS(Augmented_Data!$P100="FLAT8","8%",Augmented_Data!$P100="FLAT10","10%",Augmented_Data!$P100="FLAT15","15%",Augmented_Data!$P100="FLAT20","20%",Augmented_Data!$P100="DEL0","0 delivery charge")</f>
        <v>20%</v>
      </c>
      <c r="R100" s="14">
        <v>1</v>
      </c>
      <c r="S100" s="14" t="str">
        <f>_xlfn.IFS(Augmented_Data!U100-Augmented_Data!K100=Augmented_Data!$R100,"Intime",Augmented_Data!U100-Augmented_Data!K100&lt;Augmented_Data!R100,"Before Time",Augmented_Data!U100-Augmented_Data!K100&gt;Augmented_Data!R100,"Late")</f>
        <v>Late</v>
      </c>
      <c r="T100" s="14">
        <v>63</v>
      </c>
      <c r="U100" s="15">
        <v>45675</v>
      </c>
      <c r="V100" s="14">
        <f>DATEDIF(Augmented_Data!$K100,Augmented_Data!$U100,"D")</f>
        <v>2</v>
      </c>
      <c r="W100" s="14" t="s">
        <v>1649</v>
      </c>
      <c r="X100" s="14">
        <f>Augmented_Data!$Z100-Augmented_Data!$AA100</f>
        <v>100.70799999999997</v>
      </c>
      <c r="Y100" s="14">
        <f>Augmented_Data!$N100*Augmented_Data!$O100</f>
        <v>440.54</v>
      </c>
      <c r="Z100" s="14">
        <f>Augmented_Data!$Y100+Augmented_Data!$T100</f>
        <v>503.54</v>
      </c>
      <c r="AA100" s="16">
        <f>IF(Augmented_Data!Q100="0 delivery charge",Augmented_Data!Z100-Augmented_Data!T100,Augmented_Data!Z100*(1-Augmented_Data!Q100))</f>
        <v>402.83200000000005</v>
      </c>
    </row>
    <row r="101" spans="1:27" x14ac:dyDescent="0.3">
      <c r="A101" s="11" t="s">
        <v>77</v>
      </c>
      <c r="B101" s="11" t="str">
        <f>_xlfn.CONCAT(Augmented_Data!$C101," ",Augmented_Data!$D101)</f>
        <v>William Mann</v>
      </c>
      <c r="C101" s="11" t="s">
        <v>169</v>
      </c>
      <c r="D101" s="11" t="s">
        <v>255</v>
      </c>
      <c r="E101" s="11">
        <v>21</v>
      </c>
      <c r="F101" s="11" t="s">
        <v>288</v>
      </c>
      <c r="G101" s="11" t="s">
        <v>292</v>
      </c>
      <c r="H101" s="11" t="s">
        <v>358</v>
      </c>
      <c r="I101" s="11" t="s">
        <v>458</v>
      </c>
      <c r="J101" s="11" t="s">
        <v>598</v>
      </c>
      <c r="K101" s="12">
        <v>45321</v>
      </c>
      <c r="L101" s="11" t="s">
        <v>1098</v>
      </c>
      <c r="M101" s="11" t="s">
        <v>1504</v>
      </c>
      <c r="N101" s="11">
        <v>275.44</v>
      </c>
      <c r="O101" s="11">
        <v>3</v>
      </c>
      <c r="P101" s="11" t="s">
        <v>1548</v>
      </c>
      <c r="Q101" s="11" t="str">
        <f>_xlfn.IFS(Augmented_Data!$P101="FLAT8","8%",Augmented_Data!$P101="FLAT10","10%",Augmented_Data!$P101="FLAT15","15%",Augmented_Data!$P101="FLAT20","20%",Augmented_Data!$P101="DEL0","0 delivery charge")</f>
        <v>15%</v>
      </c>
      <c r="R101" s="11">
        <v>7</v>
      </c>
      <c r="S101" s="11" t="str">
        <f>_xlfn.IFS(Augmented_Data!U101-Augmented_Data!K101=Augmented_Data!$R101,"Intime",Augmented_Data!U101-Augmented_Data!K101&lt;Augmented_Data!R101,"Before Time",Augmented_Data!U101-Augmented_Data!K101&gt;Augmented_Data!R101,"Late")</f>
        <v>Before Time</v>
      </c>
      <c r="T101" s="11">
        <v>47</v>
      </c>
      <c r="U101" s="12">
        <v>45322</v>
      </c>
      <c r="V101" s="11">
        <f>DATEDIF(Augmented_Data!$K101,Augmented_Data!$U101,"D")</f>
        <v>1</v>
      </c>
      <c r="W101" s="11" t="s">
        <v>1650</v>
      </c>
      <c r="X101" s="11">
        <f>Augmented_Data!$Z101-Augmented_Data!$AA101</f>
        <v>130.99800000000005</v>
      </c>
      <c r="Y101" s="11">
        <f>Augmented_Data!$N101*Augmented_Data!$O101</f>
        <v>826.31999999999994</v>
      </c>
      <c r="Z101" s="11">
        <f>Augmented_Data!$Y101+Augmented_Data!$T101</f>
        <v>873.31999999999994</v>
      </c>
      <c r="AA101" s="13">
        <f>IF(Augmented_Data!Q101="0 delivery charge",Augmented_Data!Z101-Augmented_Data!T101,Augmented_Data!Z101*(1-Augmented_Data!Q101))</f>
        <v>742.32199999999989</v>
      </c>
    </row>
    <row r="102" spans="1:27" x14ac:dyDescent="0.3">
      <c r="A102" s="14" t="s">
        <v>82</v>
      </c>
      <c r="B102" s="14" t="str">
        <f>_xlfn.CONCAT(Augmented_Data!$C102," ",Augmented_Data!$D102)</f>
        <v>Christy Chang</v>
      </c>
      <c r="C102" s="14" t="s">
        <v>172</v>
      </c>
      <c r="D102" s="14" t="s">
        <v>259</v>
      </c>
      <c r="E102" s="14">
        <v>38</v>
      </c>
      <c r="F102" s="14" t="s">
        <v>289</v>
      </c>
      <c r="G102" s="14" t="s">
        <v>298</v>
      </c>
      <c r="H102" s="14" t="s">
        <v>363</v>
      </c>
      <c r="I102" s="14" t="s">
        <v>463</v>
      </c>
      <c r="J102" s="14" t="s">
        <v>599</v>
      </c>
      <c r="K102" s="15">
        <v>45203</v>
      </c>
      <c r="L102" s="14" t="s">
        <v>1099</v>
      </c>
      <c r="M102" s="14" t="s">
        <v>1535</v>
      </c>
      <c r="N102" s="14">
        <v>477.52</v>
      </c>
      <c r="O102" s="14">
        <v>3</v>
      </c>
      <c r="P102" s="14" t="s">
        <v>2047</v>
      </c>
      <c r="Q102" s="14" t="str">
        <f>_xlfn.IFS(Augmented_Data!$P102="FLAT8","8%",Augmented_Data!$P102="FLAT10","10%",Augmented_Data!$P102="FLAT15","15%",Augmented_Data!$P102="FLAT20","20%",Augmented_Data!$P102="DEL0","0 delivery charge")</f>
        <v>8%</v>
      </c>
      <c r="R102" s="14">
        <v>7</v>
      </c>
      <c r="S102" s="14" t="str">
        <f>_xlfn.IFS(Augmented_Data!U102-Augmented_Data!K102=Augmented_Data!$R102,"Intime",Augmented_Data!U102-Augmented_Data!K102&lt;Augmented_Data!R102,"Before Time",Augmented_Data!U102-Augmented_Data!K102&gt;Augmented_Data!R102,"Late")</f>
        <v>Before Time</v>
      </c>
      <c r="T102" s="14">
        <v>66</v>
      </c>
      <c r="U102" s="15">
        <v>45208</v>
      </c>
      <c r="V102" s="14">
        <f>DATEDIF(Augmented_Data!$K102,Augmented_Data!$U102,"D")</f>
        <v>5</v>
      </c>
      <c r="W102" s="14" t="s">
        <v>1651</v>
      </c>
      <c r="X102" s="14">
        <f>Augmented_Data!$Z102-Augmented_Data!$AA102</f>
        <v>119.88480000000004</v>
      </c>
      <c r="Y102" s="14">
        <f>Augmented_Data!$N102*Augmented_Data!$O102</f>
        <v>1432.56</v>
      </c>
      <c r="Z102" s="14">
        <f>Augmented_Data!$Y102+Augmented_Data!$T102</f>
        <v>1498.56</v>
      </c>
      <c r="AA102" s="16">
        <f>IF(Augmented_Data!Q102="0 delivery charge",Augmented_Data!Z102-Augmented_Data!T102,Augmented_Data!Z102*(1-Augmented_Data!Q102))</f>
        <v>1378.6751999999999</v>
      </c>
    </row>
    <row r="103" spans="1:27" x14ac:dyDescent="0.3">
      <c r="A103" s="11" t="s">
        <v>83</v>
      </c>
      <c r="B103" s="11" t="str">
        <f>_xlfn.CONCAT(Augmented_Data!$C103," ",Augmented_Data!$D103)</f>
        <v>Troy Gomez</v>
      </c>
      <c r="C103" s="11" t="s">
        <v>173</v>
      </c>
      <c r="D103" s="11" t="s">
        <v>260</v>
      </c>
      <c r="E103" s="11">
        <v>68</v>
      </c>
      <c r="F103" s="11" t="s">
        <v>288</v>
      </c>
      <c r="G103" s="11" t="s">
        <v>298</v>
      </c>
      <c r="H103" s="11" t="s">
        <v>364</v>
      </c>
      <c r="I103" s="11" t="s">
        <v>464</v>
      </c>
      <c r="J103" s="11" t="s">
        <v>600</v>
      </c>
      <c r="K103" s="12">
        <v>45636</v>
      </c>
      <c r="L103" s="11" t="s">
        <v>1100</v>
      </c>
      <c r="M103" s="11" t="s">
        <v>1540</v>
      </c>
      <c r="N103" s="11">
        <v>424.82</v>
      </c>
      <c r="O103" s="11">
        <v>1</v>
      </c>
      <c r="P103" s="11" t="s">
        <v>1547</v>
      </c>
      <c r="Q103" s="11" t="str">
        <f>_xlfn.IFS(Augmented_Data!$P103="FLAT8","8%",Augmented_Data!$P103="FLAT10","10%",Augmented_Data!$P103="FLAT15","15%",Augmented_Data!$P103="FLAT20","20%",Augmented_Data!$P103="DEL0","0 delivery charge")</f>
        <v>0 delivery charge</v>
      </c>
      <c r="R103" s="11">
        <v>6</v>
      </c>
      <c r="S103" s="11" t="str">
        <f>_xlfn.IFS(Augmented_Data!U103-Augmented_Data!K103=Augmented_Data!$R103,"Intime",Augmented_Data!U103-Augmented_Data!K103&lt;Augmented_Data!R103,"Before Time",Augmented_Data!U103-Augmented_Data!K103&gt;Augmented_Data!R103,"Late")</f>
        <v>Before Time</v>
      </c>
      <c r="T103" s="11">
        <v>44</v>
      </c>
      <c r="U103" s="12">
        <v>45638</v>
      </c>
      <c r="V103" s="11">
        <f>DATEDIF(Augmented_Data!$K103,Augmented_Data!$U103,"D")</f>
        <v>2</v>
      </c>
      <c r="W103" s="11" t="s">
        <v>1652</v>
      </c>
      <c r="X103" s="11">
        <f>Augmented_Data!$Z103-Augmented_Data!$AA103</f>
        <v>44</v>
      </c>
      <c r="Y103" s="11">
        <f>Augmented_Data!$N103*Augmented_Data!$O103</f>
        <v>424.82</v>
      </c>
      <c r="Z103" s="11">
        <f>Augmented_Data!$Y103+Augmented_Data!$T103</f>
        <v>468.82</v>
      </c>
      <c r="AA103" s="13">
        <f>IF(Augmented_Data!Q103="0 delivery charge",Augmented_Data!Z103-Augmented_Data!T103,Augmented_Data!Z103*(1-Augmented_Data!Q103))</f>
        <v>424.82</v>
      </c>
    </row>
    <row r="104" spans="1:27" x14ac:dyDescent="0.3">
      <c r="A104" s="14" t="s">
        <v>84</v>
      </c>
      <c r="B104" s="14" t="str">
        <f>_xlfn.CONCAT(Augmented_Data!$C104," ",Augmented_Data!$D104)</f>
        <v>Kim Blevins</v>
      </c>
      <c r="C104" s="14" t="s">
        <v>174</v>
      </c>
      <c r="D104" s="14" t="s">
        <v>261</v>
      </c>
      <c r="E104" s="14">
        <v>65</v>
      </c>
      <c r="F104" s="14" t="s">
        <v>289</v>
      </c>
      <c r="G104" s="14" t="s">
        <v>296</v>
      </c>
      <c r="H104" s="14" t="s">
        <v>365</v>
      </c>
      <c r="I104" s="14" t="s">
        <v>465</v>
      </c>
      <c r="J104" s="14" t="s">
        <v>601</v>
      </c>
      <c r="K104" s="15">
        <v>45165</v>
      </c>
      <c r="L104" s="14" t="s">
        <v>1101</v>
      </c>
      <c r="M104" s="14" t="s">
        <v>1530</v>
      </c>
      <c r="N104" s="14">
        <v>369.03</v>
      </c>
      <c r="O104" s="14">
        <v>4</v>
      </c>
      <c r="P104" s="14" t="s">
        <v>2047</v>
      </c>
      <c r="Q104" s="14" t="str">
        <f>_xlfn.IFS(Augmented_Data!$P104="FLAT8","8%",Augmented_Data!$P104="FLAT10","10%",Augmented_Data!$P104="FLAT15","15%",Augmented_Data!$P104="FLAT20","20%",Augmented_Data!$P104="DEL0","0 delivery charge")</f>
        <v>8%</v>
      </c>
      <c r="R104" s="14">
        <v>3</v>
      </c>
      <c r="S104" s="14" t="str">
        <f>_xlfn.IFS(Augmented_Data!U104-Augmented_Data!K104=Augmented_Data!$R104,"Intime",Augmented_Data!U104-Augmented_Data!K104&lt;Augmented_Data!R104,"Before Time",Augmented_Data!U104-Augmented_Data!K104&gt;Augmented_Data!R104,"Late")</f>
        <v>Late</v>
      </c>
      <c r="T104" s="14">
        <v>56</v>
      </c>
      <c r="U104" s="15">
        <v>45169</v>
      </c>
      <c r="V104" s="14">
        <f>DATEDIF(Augmented_Data!$K104,Augmented_Data!$U104,"D")</f>
        <v>4</v>
      </c>
      <c r="W104" s="14" t="s">
        <v>1653</v>
      </c>
      <c r="X104" s="14">
        <f>Augmented_Data!$Z104-Augmented_Data!$AA104</f>
        <v>122.56960000000004</v>
      </c>
      <c r="Y104" s="14">
        <f>Augmented_Data!$N104*Augmented_Data!$O104</f>
        <v>1476.12</v>
      </c>
      <c r="Z104" s="14">
        <f>Augmented_Data!$Y104+Augmented_Data!$T104</f>
        <v>1532.12</v>
      </c>
      <c r="AA104" s="16">
        <f>IF(Augmented_Data!Q104="0 delivery charge",Augmented_Data!Z104-Augmented_Data!T104,Augmented_Data!Z104*(1-Augmented_Data!Q104))</f>
        <v>1409.5503999999999</v>
      </c>
    </row>
    <row r="105" spans="1:27" x14ac:dyDescent="0.3">
      <c r="A105" s="11" t="s">
        <v>85</v>
      </c>
      <c r="B105" s="11" t="str">
        <f>_xlfn.CONCAT(Augmented_Data!$C105," ",Augmented_Data!$D105)</f>
        <v>Brian Kennedy</v>
      </c>
      <c r="C105" s="11" t="s">
        <v>175</v>
      </c>
      <c r="D105" s="11" t="s">
        <v>262</v>
      </c>
      <c r="E105" s="11">
        <v>69</v>
      </c>
      <c r="F105" s="11" t="s">
        <v>288</v>
      </c>
      <c r="G105" s="11" t="s">
        <v>291</v>
      </c>
      <c r="H105" s="11" t="s">
        <v>366</v>
      </c>
      <c r="I105" s="11" t="s">
        <v>466</v>
      </c>
      <c r="J105" s="11" t="s">
        <v>848</v>
      </c>
      <c r="K105" s="12">
        <v>45484</v>
      </c>
      <c r="L105" s="11" t="s">
        <v>1348</v>
      </c>
      <c r="M105" s="11" t="s">
        <v>1533</v>
      </c>
      <c r="N105" s="11">
        <v>136.30000000000001</v>
      </c>
      <c r="O105" s="11">
        <v>2</v>
      </c>
      <c r="P105" s="11" t="s">
        <v>1549</v>
      </c>
      <c r="Q105" s="11" t="str">
        <f>_xlfn.IFS(Augmented_Data!$P105="FLAT8","8%",Augmented_Data!$P105="FLAT10","10%",Augmented_Data!$P105="FLAT15","15%",Augmented_Data!$P105="FLAT20","20%",Augmented_Data!$P105="DEL0","0 delivery charge")</f>
        <v>10%</v>
      </c>
      <c r="R105" s="11">
        <v>1</v>
      </c>
      <c r="S105" s="11" t="str">
        <f>_xlfn.IFS(Augmented_Data!U105-Augmented_Data!K105=Augmented_Data!$R105,"Intime",Augmented_Data!U105-Augmented_Data!K105&lt;Augmented_Data!R105,"Before Time",Augmented_Data!U105-Augmented_Data!K105&gt;Augmented_Data!R105,"Late")</f>
        <v>Intime</v>
      </c>
      <c r="T105" s="11">
        <v>54</v>
      </c>
      <c r="U105" s="12">
        <v>45485</v>
      </c>
      <c r="V105" s="11">
        <f>DATEDIF(Augmented_Data!$K105,Augmented_Data!$U105,"D")</f>
        <v>1</v>
      </c>
      <c r="W105" s="11" t="s">
        <v>1899</v>
      </c>
      <c r="X105" s="11">
        <f>Augmented_Data!$Z105-Augmented_Data!$AA105</f>
        <v>32.659999999999968</v>
      </c>
      <c r="Y105" s="11">
        <f>Augmented_Data!$N105*Augmented_Data!$O105</f>
        <v>272.60000000000002</v>
      </c>
      <c r="Z105" s="11">
        <f>Augmented_Data!$Y105+Augmented_Data!$T105</f>
        <v>326.60000000000002</v>
      </c>
      <c r="AA105" s="13">
        <f>IF(Augmented_Data!Q105="0 delivery charge",Augmented_Data!Z105-Augmented_Data!T105,Augmented_Data!Z105*(1-Augmented_Data!Q105))</f>
        <v>293.94000000000005</v>
      </c>
    </row>
    <row r="106" spans="1:27" x14ac:dyDescent="0.3">
      <c r="A106" s="14" t="s">
        <v>21</v>
      </c>
      <c r="B106" s="14" t="str">
        <f>_xlfn.CONCAT(Augmented_Data!$C106," ",Augmented_Data!$D106)</f>
        <v>John Ramirez</v>
      </c>
      <c r="C106" s="14" t="s">
        <v>121</v>
      </c>
      <c r="D106" s="14" t="s">
        <v>203</v>
      </c>
      <c r="E106" s="14">
        <v>28</v>
      </c>
      <c r="F106" s="14" t="s">
        <v>290</v>
      </c>
      <c r="G106" s="14" t="s">
        <v>294</v>
      </c>
      <c r="H106" s="14" t="s">
        <v>302</v>
      </c>
      <c r="I106" s="14" t="s">
        <v>402</v>
      </c>
      <c r="J106" s="14" t="s">
        <v>748</v>
      </c>
      <c r="K106" s="15">
        <v>45113</v>
      </c>
      <c r="L106" s="14" t="s">
        <v>1248</v>
      </c>
      <c r="M106" s="14" t="s">
        <v>1510</v>
      </c>
      <c r="N106" s="14">
        <v>220.27</v>
      </c>
      <c r="O106" s="14">
        <v>4</v>
      </c>
      <c r="P106" s="14" t="s">
        <v>1550</v>
      </c>
      <c r="Q106" s="14" t="str">
        <f>_xlfn.IFS(Augmented_Data!$P106="FLAT8","8%",Augmented_Data!$P106="FLAT10","10%",Augmented_Data!$P106="FLAT15","15%",Augmented_Data!$P106="FLAT20","20%",Augmented_Data!$P106="DEL0","0 delivery charge")</f>
        <v>20%</v>
      </c>
      <c r="R106" s="14">
        <v>4</v>
      </c>
      <c r="S106" s="14" t="str">
        <f>_xlfn.IFS(Augmented_Data!U106-Augmented_Data!K106=Augmented_Data!$R106,"Intime",Augmented_Data!U106-Augmented_Data!K106&lt;Augmented_Data!R106,"Before Time",Augmented_Data!U106-Augmented_Data!K106&gt;Augmented_Data!R106,"Late")</f>
        <v>Intime</v>
      </c>
      <c r="T106" s="14">
        <v>65</v>
      </c>
      <c r="U106" s="15">
        <v>45117</v>
      </c>
      <c r="V106" s="14">
        <f>DATEDIF(Augmented_Data!$K106,Augmented_Data!$U106,"D")</f>
        <v>4</v>
      </c>
      <c r="W106" s="14" t="s">
        <v>1799</v>
      </c>
      <c r="X106" s="14">
        <f>Augmented_Data!$Z106-Augmented_Data!$AA106</f>
        <v>189.21600000000001</v>
      </c>
      <c r="Y106" s="14">
        <f>Augmented_Data!$N106*Augmented_Data!$O106</f>
        <v>881.08</v>
      </c>
      <c r="Z106" s="14">
        <f>Augmented_Data!$Y106+Augmented_Data!$T106</f>
        <v>946.08</v>
      </c>
      <c r="AA106" s="16">
        <f>IF(Augmented_Data!Q106="0 delivery charge",Augmented_Data!Z106-Augmented_Data!T106,Augmented_Data!Z106*(1-Augmented_Data!Q106))</f>
        <v>756.86400000000003</v>
      </c>
    </row>
    <row r="107" spans="1:27" x14ac:dyDescent="0.3">
      <c r="A107" s="11" t="s">
        <v>77</v>
      </c>
      <c r="B107" s="11" t="str">
        <f>_xlfn.CONCAT(Augmented_Data!$C107," ",Augmented_Data!$D107)</f>
        <v>William Mann</v>
      </c>
      <c r="C107" s="11" t="s">
        <v>169</v>
      </c>
      <c r="D107" s="11" t="s">
        <v>255</v>
      </c>
      <c r="E107" s="11">
        <v>21</v>
      </c>
      <c r="F107" s="11" t="s">
        <v>288</v>
      </c>
      <c r="G107" s="11" t="s">
        <v>292</v>
      </c>
      <c r="H107" s="11" t="s">
        <v>358</v>
      </c>
      <c r="I107" s="11" t="s">
        <v>458</v>
      </c>
      <c r="J107" s="11" t="s">
        <v>604</v>
      </c>
      <c r="K107" s="12">
        <v>45530</v>
      </c>
      <c r="L107" s="11" t="s">
        <v>1104</v>
      </c>
      <c r="M107" s="11" t="s">
        <v>1541</v>
      </c>
      <c r="N107" s="11">
        <v>133.62</v>
      </c>
      <c r="O107" s="11">
        <v>5</v>
      </c>
      <c r="P107" s="11" t="s">
        <v>1548</v>
      </c>
      <c r="Q107" s="11" t="str">
        <f>_xlfn.IFS(Augmented_Data!$P107="FLAT8","8%",Augmented_Data!$P107="FLAT10","10%",Augmented_Data!$P107="FLAT15","15%",Augmented_Data!$P107="FLAT20","20%",Augmented_Data!$P107="DEL0","0 delivery charge")</f>
        <v>15%</v>
      </c>
      <c r="R107" s="11">
        <v>6</v>
      </c>
      <c r="S107" s="11" t="str">
        <f>_xlfn.IFS(Augmented_Data!U107-Augmented_Data!K107=Augmented_Data!$R107,"Intime",Augmented_Data!U107-Augmented_Data!K107&lt;Augmented_Data!R107,"Before Time",Augmented_Data!U107-Augmented_Data!K107&gt;Augmented_Data!R107,"Late")</f>
        <v>Before Time</v>
      </c>
      <c r="T107" s="11">
        <v>64</v>
      </c>
      <c r="U107" s="12">
        <v>45532</v>
      </c>
      <c r="V107" s="11">
        <f>DATEDIF(Augmented_Data!$K107,Augmented_Data!$U107,"D")</f>
        <v>2</v>
      </c>
      <c r="W107" s="11" t="s">
        <v>1656</v>
      </c>
      <c r="X107" s="11">
        <f>Augmented_Data!$Z107-Augmented_Data!$AA107</f>
        <v>109.81500000000005</v>
      </c>
      <c r="Y107" s="11">
        <f>Augmented_Data!$N107*Augmented_Data!$O107</f>
        <v>668.1</v>
      </c>
      <c r="Z107" s="11">
        <f>Augmented_Data!$Y107+Augmented_Data!$T107</f>
        <v>732.1</v>
      </c>
      <c r="AA107" s="13">
        <f>IF(Augmented_Data!Q107="0 delivery charge",Augmented_Data!Z107-Augmented_Data!T107,Augmented_Data!Z107*(1-Augmented_Data!Q107))</f>
        <v>622.28499999999997</v>
      </c>
    </row>
    <row r="108" spans="1:27" x14ac:dyDescent="0.3">
      <c r="A108" s="14" t="s">
        <v>86</v>
      </c>
      <c r="B108" s="14" t="str">
        <f>_xlfn.CONCAT(Augmented_Data!$C108," ",Augmented_Data!$D108)</f>
        <v>Gregory Lee</v>
      </c>
      <c r="C108" s="14" t="s">
        <v>176</v>
      </c>
      <c r="D108" s="14" t="s">
        <v>263</v>
      </c>
      <c r="E108" s="14">
        <v>26</v>
      </c>
      <c r="F108" s="14" t="s">
        <v>290</v>
      </c>
      <c r="G108" s="14" t="s">
        <v>295</v>
      </c>
      <c r="H108" s="14" t="s">
        <v>367</v>
      </c>
      <c r="I108" s="14" t="s">
        <v>467</v>
      </c>
      <c r="J108" s="14" t="s">
        <v>605</v>
      </c>
      <c r="K108" s="15">
        <v>45432</v>
      </c>
      <c r="L108" s="14" t="s">
        <v>1105</v>
      </c>
      <c r="M108" s="14" t="s">
        <v>1497</v>
      </c>
      <c r="N108" s="14">
        <v>308.88</v>
      </c>
      <c r="O108" s="14">
        <v>2</v>
      </c>
      <c r="P108" s="14" t="s">
        <v>1550</v>
      </c>
      <c r="Q108" s="14" t="str">
        <f>_xlfn.IFS(Augmented_Data!$P108="FLAT8","8%",Augmented_Data!$P108="FLAT10","10%",Augmented_Data!$P108="FLAT15","15%",Augmented_Data!$P108="FLAT20","20%",Augmented_Data!$P108="DEL0","0 delivery charge")</f>
        <v>20%</v>
      </c>
      <c r="R108" s="14">
        <v>4</v>
      </c>
      <c r="S108" s="14" t="str">
        <f>_xlfn.IFS(Augmented_Data!U108-Augmented_Data!K108=Augmented_Data!$R108,"Intime",Augmented_Data!U108-Augmented_Data!K108&lt;Augmented_Data!R108,"Before Time",Augmented_Data!U108-Augmented_Data!K108&gt;Augmented_Data!R108,"Late")</f>
        <v>Intime</v>
      </c>
      <c r="T108" s="14">
        <v>61</v>
      </c>
      <c r="U108" s="15">
        <v>45436</v>
      </c>
      <c r="V108" s="14">
        <f>DATEDIF(Augmented_Data!$K108,Augmented_Data!$U108,"D")</f>
        <v>4</v>
      </c>
      <c r="W108" s="14" t="s">
        <v>1657</v>
      </c>
      <c r="X108" s="14">
        <f>Augmented_Data!$Z108-Augmented_Data!$AA108</f>
        <v>135.75199999999995</v>
      </c>
      <c r="Y108" s="14">
        <f>Augmented_Data!$N108*Augmented_Data!$O108</f>
        <v>617.76</v>
      </c>
      <c r="Z108" s="14">
        <f>Augmented_Data!$Y108+Augmented_Data!$T108</f>
        <v>678.76</v>
      </c>
      <c r="AA108" s="16">
        <f>IF(Augmented_Data!Q108="0 delivery charge",Augmented_Data!Z108-Augmented_Data!T108,Augmented_Data!Z108*(1-Augmented_Data!Q108))</f>
        <v>543.00800000000004</v>
      </c>
    </row>
    <row r="109" spans="1:27" x14ac:dyDescent="0.3">
      <c r="A109" s="11" t="s">
        <v>41</v>
      </c>
      <c r="B109" s="11" t="str">
        <f>_xlfn.CONCAT(Augmented_Data!$C109," ",Augmented_Data!$D109)</f>
        <v>Angela Evans</v>
      </c>
      <c r="C109" s="11" t="s">
        <v>122</v>
      </c>
      <c r="D109" s="11" t="s">
        <v>222</v>
      </c>
      <c r="E109" s="11">
        <v>52</v>
      </c>
      <c r="F109" s="11" t="s">
        <v>290</v>
      </c>
      <c r="G109" s="11" t="s">
        <v>292</v>
      </c>
      <c r="H109" s="11" t="s">
        <v>322</v>
      </c>
      <c r="I109" s="11" t="s">
        <v>422</v>
      </c>
      <c r="J109" s="11" t="s">
        <v>606</v>
      </c>
      <c r="K109" s="12">
        <v>45427</v>
      </c>
      <c r="L109" s="11" t="s">
        <v>1106</v>
      </c>
      <c r="M109" s="11" t="s">
        <v>1514</v>
      </c>
      <c r="N109" s="11">
        <v>461.07</v>
      </c>
      <c r="O109" s="11">
        <v>1</v>
      </c>
      <c r="P109" s="11" t="s">
        <v>1550</v>
      </c>
      <c r="Q109" s="11" t="str">
        <f>_xlfn.IFS(Augmented_Data!$P109="FLAT8","8%",Augmented_Data!$P109="FLAT10","10%",Augmented_Data!$P109="FLAT15","15%",Augmented_Data!$P109="FLAT20","20%",Augmented_Data!$P109="DEL0","0 delivery charge")</f>
        <v>20%</v>
      </c>
      <c r="R109" s="11">
        <v>7</v>
      </c>
      <c r="S109" s="11" t="str">
        <f>_xlfn.IFS(Augmented_Data!U109-Augmented_Data!K109=Augmented_Data!$R109,"Intime",Augmented_Data!U109-Augmented_Data!K109&lt;Augmented_Data!R109,"Before Time",Augmented_Data!U109-Augmented_Data!K109&gt;Augmented_Data!R109,"Late")</f>
        <v>Intime</v>
      </c>
      <c r="T109" s="11">
        <v>57</v>
      </c>
      <c r="U109" s="12">
        <v>45434</v>
      </c>
      <c r="V109" s="11">
        <f>DATEDIF(Augmented_Data!$K109,Augmented_Data!$U109,"D")</f>
        <v>7</v>
      </c>
      <c r="W109" s="11" t="s">
        <v>1658</v>
      </c>
      <c r="X109" s="11">
        <f>Augmented_Data!$Z109-Augmented_Data!$AA109</f>
        <v>103.61399999999998</v>
      </c>
      <c r="Y109" s="11">
        <f>Augmented_Data!$N109*Augmented_Data!$O109</f>
        <v>461.07</v>
      </c>
      <c r="Z109" s="11">
        <f>Augmented_Data!$Y109+Augmented_Data!$T109</f>
        <v>518.06999999999994</v>
      </c>
      <c r="AA109" s="13">
        <f>IF(Augmented_Data!Q109="0 delivery charge",Augmented_Data!Z109-Augmented_Data!T109,Augmented_Data!Z109*(1-Augmented_Data!Q109))</f>
        <v>414.45599999999996</v>
      </c>
    </row>
    <row r="110" spans="1:27" x14ac:dyDescent="0.3">
      <c r="A110" s="14" t="s">
        <v>87</v>
      </c>
      <c r="B110" s="14" t="str">
        <f>_xlfn.CONCAT(Augmented_Data!$C110," ",Augmented_Data!$D110)</f>
        <v>Bruce Allen</v>
      </c>
      <c r="C110" s="14" t="s">
        <v>177</v>
      </c>
      <c r="D110" s="14" t="s">
        <v>264</v>
      </c>
      <c r="E110" s="14">
        <v>32</v>
      </c>
      <c r="F110" s="14" t="s">
        <v>289</v>
      </c>
      <c r="G110" s="14" t="s">
        <v>291</v>
      </c>
      <c r="H110" s="14" t="s">
        <v>368</v>
      </c>
      <c r="I110" s="14" t="s">
        <v>468</v>
      </c>
      <c r="J110" s="14" t="s">
        <v>607</v>
      </c>
      <c r="K110" s="15">
        <v>45021</v>
      </c>
      <c r="L110" s="14" t="s">
        <v>1107</v>
      </c>
      <c r="M110" s="14" t="s">
        <v>1518</v>
      </c>
      <c r="N110" s="14">
        <v>496.59</v>
      </c>
      <c r="O110" s="14">
        <v>5</v>
      </c>
      <c r="P110" s="14" t="s">
        <v>1550</v>
      </c>
      <c r="Q110" s="14" t="str">
        <f>_xlfn.IFS(Augmented_Data!$P110="FLAT8","8%",Augmented_Data!$P110="FLAT10","10%",Augmented_Data!$P110="FLAT15","15%",Augmented_Data!$P110="FLAT20","20%",Augmented_Data!$P110="DEL0","0 delivery charge")</f>
        <v>20%</v>
      </c>
      <c r="R110" s="14">
        <v>1</v>
      </c>
      <c r="S110" s="14" t="str">
        <f>_xlfn.IFS(Augmented_Data!U110-Augmented_Data!K110=Augmented_Data!$R110,"Intime",Augmented_Data!U110-Augmented_Data!K110&lt;Augmented_Data!R110,"Before Time",Augmented_Data!U110-Augmented_Data!K110&gt;Augmented_Data!R110,"Late")</f>
        <v>Late</v>
      </c>
      <c r="T110" s="14">
        <v>40</v>
      </c>
      <c r="U110" s="15">
        <v>45025</v>
      </c>
      <c r="V110" s="14">
        <f>DATEDIF(Augmented_Data!$K110,Augmented_Data!$U110,"D")</f>
        <v>4</v>
      </c>
      <c r="W110" s="14" t="s">
        <v>1659</v>
      </c>
      <c r="X110" s="14">
        <f>Augmented_Data!$Z110-Augmented_Data!$AA110</f>
        <v>504.58999999999992</v>
      </c>
      <c r="Y110" s="14">
        <f>Augmented_Data!$N110*Augmented_Data!$O110</f>
        <v>2482.9499999999998</v>
      </c>
      <c r="Z110" s="14">
        <f>Augmented_Data!$Y110+Augmented_Data!$T110</f>
        <v>2522.9499999999998</v>
      </c>
      <c r="AA110" s="16">
        <f>IF(Augmented_Data!Q110="0 delivery charge",Augmented_Data!Z110-Augmented_Data!T110,Augmented_Data!Z110*(1-Augmented_Data!Q110))</f>
        <v>2018.36</v>
      </c>
    </row>
    <row r="111" spans="1:27" x14ac:dyDescent="0.3">
      <c r="A111" s="11" t="s">
        <v>88</v>
      </c>
      <c r="B111" s="11" t="str">
        <f>_xlfn.CONCAT(Augmented_Data!$C111," ",Augmented_Data!$D111)</f>
        <v>Lisa Miller</v>
      </c>
      <c r="C111" s="11" t="s">
        <v>178</v>
      </c>
      <c r="D111" s="11" t="s">
        <v>215</v>
      </c>
      <c r="E111" s="11">
        <v>70</v>
      </c>
      <c r="F111" s="11" t="s">
        <v>289</v>
      </c>
      <c r="G111" s="11" t="s">
        <v>296</v>
      </c>
      <c r="H111" s="11" t="s">
        <v>369</v>
      </c>
      <c r="I111" s="11" t="s">
        <v>469</v>
      </c>
      <c r="J111" s="11" t="s">
        <v>608</v>
      </c>
      <c r="K111" s="12">
        <v>45005</v>
      </c>
      <c r="L111" s="11" t="s">
        <v>1108</v>
      </c>
      <c r="M111" s="11" t="s">
        <v>1512</v>
      </c>
      <c r="N111" s="11">
        <v>104.18</v>
      </c>
      <c r="O111" s="11">
        <v>2</v>
      </c>
      <c r="P111" s="11" t="s">
        <v>2047</v>
      </c>
      <c r="Q111" s="11" t="str">
        <f>_xlfn.IFS(Augmented_Data!$P111="FLAT8","8%",Augmented_Data!$P111="FLAT10","10%",Augmented_Data!$P111="FLAT15","15%",Augmented_Data!$P111="FLAT20","20%",Augmented_Data!$P111="DEL0","0 delivery charge")</f>
        <v>8%</v>
      </c>
      <c r="R111" s="11">
        <v>2</v>
      </c>
      <c r="S111" s="11" t="str">
        <f>_xlfn.IFS(Augmented_Data!U111-Augmented_Data!K111=Augmented_Data!$R111,"Intime",Augmented_Data!U111-Augmented_Data!K111&lt;Augmented_Data!R111,"Before Time",Augmented_Data!U111-Augmented_Data!K111&gt;Augmented_Data!R111,"Late")</f>
        <v>Late</v>
      </c>
      <c r="T111" s="11">
        <v>40</v>
      </c>
      <c r="U111" s="12">
        <v>45010</v>
      </c>
      <c r="V111" s="11">
        <f>DATEDIF(Augmented_Data!$K111,Augmented_Data!$U111,"D")</f>
        <v>5</v>
      </c>
      <c r="W111" s="11" t="s">
        <v>1660</v>
      </c>
      <c r="X111" s="11">
        <f>Augmented_Data!$Z111-Augmented_Data!$AA111</f>
        <v>19.868799999999993</v>
      </c>
      <c r="Y111" s="11">
        <f>Augmented_Data!$N111*Augmented_Data!$O111</f>
        <v>208.36</v>
      </c>
      <c r="Z111" s="11">
        <f>Augmented_Data!$Y111+Augmented_Data!$T111</f>
        <v>248.36</v>
      </c>
      <c r="AA111" s="13">
        <f>IF(Augmented_Data!Q111="0 delivery charge",Augmented_Data!Z111-Augmented_Data!T111,Augmented_Data!Z111*(1-Augmented_Data!Q111))</f>
        <v>228.49120000000002</v>
      </c>
    </row>
    <row r="112" spans="1:27" x14ac:dyDescent="0.3">
      <c r="A112" s="14" t="s">
        <v>89</v>
      </c>
      <c r="B112" s="14" t="str">
        <f>_xlfn.CONCAT(Augmented_Data!$C112," ",Augmented_Data!$D112)</f>
        <v>Melissa Levy</v>
      </c>
      <c r="C112" s="14" t="s">
        <v>179</v>
      </c>
      <c r="D112" s="14" t="s">
        <v>265</v>
      </c>
      <c r="E112" s="14">
        <v>30</v>
      </c>
      <c r="F112" s="14" t="s">
        <v>288</v>
      </c>
      <c r="G112" s="14" t="s">
        <v>293</v>
      </c>
      <c r="H112" s="14" t="s">
        <v>370</v>
      </c>
      <c r="I112" s="14" t="s">
        <v>470</v>
      </c>
      <c r="J112" s="14" t="s">
        <v>609</v>
      </c>
      <c r="K112" s="15">
        <v>45406</v>
      </c>
      <c r="L112" s="14" t="s">
        <v>1109</v>
      </c>
      <c r="M112" s="14" t="s">
        <v>1521</v>
      </c>
      <c r="N112" s="14">
        <v>110.95</v>
      </c>
      <c r="O112" s="14">
        <v>2</v>
      </c>
      <c r="P112" s="14" t="s">
        <v>2047</v>
      </c>
      <c r="Q112" s="14" t="str">
        <f>_xlfn.IFS(Augmented_Data!$P112="FLAT8","8%",Augmented_Data!$P112="FLAT10","10%",Augmented_Data!$P112="FLAT15","15%",Augmented_Data!$P112="FLAT20","20%",Augmented_Data!$P112="DEL0","0 delivery charge")</f>
        <v>8%</v>
      </c>
      <c r="R112" s="14">
        <v>4</v>
      </c>
      <c r="S112" s="14" t="str">
        <f>_xlfn.IFS(Augmented_Data!U112-Augmented_Data!K112=Augmented_Data!$R112,"Intime",Augmented_Data!U112-Augmented_Data!K112&lt;Augmented_Data!R112,"Before Time",Augmented_Data!U112-Augmented_Data!K112&gt;Augmented_Data!R112,"Late")</f>
        <v>Before Time</v>
      </c>
      <c r="T112" s="14">
        <v>68</v>
      </c>
      <c r="U112" s="15">
        <v>45408</v>
      </c>
      <c r="V112" s="14">
        <f>DATEDIF(Augmented_Data!$K112,Augmented_Data!$U112,"D")</f>
        <v>2</v>
      </c>
      <c r="W112" s="14" t="s">
        <v>1661</v>
      </c>
      <c r="X112" s="14">
        <f>Augmented_Data!$Z112-Augmented_Data!$AA112</f>
        <v>23.192000000000007</v>
      </c>
      <c r="Y112" s="14">
        <f>Augmented_Data!$N112*Augmented_Data!$O112</f>
        <v>221.9</v>
      </c>
      <c r="Z112" s="14">
        <f>Augmented_Data!$Y112+Augmented_Data!$T112</f>
        <v>289.89999999999998</v>
      </c>
      <c r="AA112" s="16">
        <f>IF(Augmented_Data!Q112="0 delivery charge",Augmented_Data!Z112-Augmented_Data!T112,Augmented_Data!Z112*(1-Augmented_Data!Q112))</f>
        <v>266.70799999999997</v>
      </c>
    </row>
    <row r="113" spans="1:27" x14ac:dyDescent="0.3">
      <c r="A113" s="11" t="s">
        <v>81</v>
      </c>
      <c r="B113" s="11" t="str">
        <f>_xlfn.CONCAT(Augmented_Data!$C113," ",Augmented_Data!$D113)</f>
        <v>Beth Mason</v>
      </c>
      <c r="C113" s="11" t="s">
        <v>171</v>
      </c>
      <c r="D113" s="11" t="s">
        <v>258</v>
      </c>
      <c r="E113" s="11">
        <v>45</v>
      </c>
      <c r="F113" s="11" t="s">
        <v>290</v>
      </c>
      <c r="G113" s="11" t="s">
        <v>296</v>
      </c>
      <c r="H113" s="11" t="s">
        <v>362</v>
      </c>
      <c r="I113" s="11" t="s">
        <v>462</v>
      </c>
      <c r="J113" s="11" t="s">
        <v>610</v>
      </c>
      <c r="K113" s="12">
        <v>45665</v>
      </c>
      <c r="L113" s="11" t="s">
        <v>1110</v>
      </c>
      <c r="M113" s="11" t="s">
        <v>1518</v>
      </c>
      <c r="N113" s="11">
        <v>496.59</v>
      </c>
      <c r="O113" s="11">
        <v>2</v>
      </c>
      <c r="P113" s="11" t="s">
        <v>1547</v>
      </c>
      <c r="Q113" s="11" t="str">
        <f>_xlfn.IFS(Augmented_Data!$P113="FLAT8","8%",Augmented_Data!$P113="FLAT10","10%",Augmented_Data!$P113="FLAT15","15%",Augmented_Data!$P113="FLAT20","20%",Augmented_Data!$P113="DEL0","0 delivery charge")</f>
        <v>0 delivery charge</v>
      </c>
      <c r="R113" s="11">
        <v>5</v>
      </c>
      <c r="S113" s="11" t="str">
        <f>_xlfn.IFS(Augmented_Data!U113-Augmented_Data!K113=Augmented_Data!$R113,"Intime",Augmented_Data!U113-Augmented_Data!K113&lt;Augmented_Data!R113,"Before Time",Augmented_Data!U113-Augmented_Data!K113&gt;Augmented_Data!R113,"Late")</f>
        <v>Before Time</v>
      </c>
      <c r="T113" s="11">
        <v>40</v>
      </c>
      <c r="U113" s="12">
        <v>45667</v>
      </c>
      <c r="V113" s="11">
        <f>DATEDIF(Augmented_Data!$K113,Augmented_Data!$U113,"D")</f>
        <v>2</v>
      </c>
      <c r="W113" s="11" t="s">
        <v>1662</v>
      </c>
      <c r="X113" s="11">
        <f>Augmented_Data!$Z113-Augmented_Data!$AA113</f>
        <v>40</v>
      </c>
      <c r="Y113" s="11">
        <f>Augmented_Data!$N113*Augmented_Data!$O113</f>
        <v>993.18</v>
      </c>
      <c r="Z113" s="11">
        <f>Augmented_Data!$Y113+Augmented_Data!$T113</f>
        <v>1033.1799999999998</v>
      </c>
      <c r="AA113" s="13">
        <f>IF(Augmented_Data!Q113="0 delivery charge",Augmented_Data!Z113-Augmented_Data!T113,Augmented_Data!Z113*(1-Augmented_Data!Q113))</f>
        <v>993.17999999999984</v>
      </c>
    </row>
    <row r="114" spans="1:27" x14ac:dyDescent="0.3">
      <c r="A114" s="14" t="s">
        <v>68</v>
      </c>
      <c r="B114" s="14" t="str">
        <f>_xlfn.CONCAT(Augmented_Data!$C114," ",Augmented_Data!$D114)</f>
        <v>Mitchell Parker</v>
      </c>
      <c r="C114" s="14" t="s">
        <v>162</v>
      </c>
      <c r="D114" s="14" t="s">
        <v>232</v>
      </c>
      <c r="E114" s="14">
        <v>39</v>
      </c>
      <c r="F114" s="14" t="s">
        <v>290</v>
      </c>
      <c r="G114" s="14" t="s">
        <v>292</v>
      </c>
      <c r="H114" s="14" t="s">
        <v>349</v>
      </c>
      <c r="I114" s="14" t="s">
        <v>449</v>
      </c>
      <c r="J114" s="14" t="s">
        <v>611</v>
      </c>
      <c r="K114" s="15">
        <v>45397</v>
      </c>
      <c r="L114" s="14" t="s">
        <v>1111</v>
      </c>
      <c r="M114" s="14" t="s">
        <v>1507</v>
      </c>
      <c r="N114" s="14">
        <v>257.06</v>
      </c>
      <c r="O114" s="14">
        <v>4</v>
      </c>
      <c r="P114" s="14" t="s">
        <v>1550</v>
      </c>
      <c r="Q114" s="14" t="str">
        <f>_xlfn.IFS(Augmented_Data!$P114="FLAT8","8%",Augmented_Data!$P114="FLAT10","10%",Augmented_Data!$P114="FLAT15","15%",Augmented_Data!$P114="FLAT20","20%",Augmented_Data!$P114="DEL0","0 delivery charge")</f>
        <v>20%</v>
      </c>
      <c r="R114" s="14">
        <v>3</v>
      </c>
      <c r="S114" s="14" t="str">
        <f>_xlfn.IFS(Augmented_Data!U114-Augmented_Data!K114=Augmented_Data!$R114,"Intime",Augmented_Data!U114-Augmented_Data!K114&lt;Augmented_Data!R114,"Before Time",Augmented_Data!U114-Augmented_Data!K114&gt;Augmented_Data!R114,"Late")</f>
        <v>Late</v>
      </c>
      <c r="T114" s="14">
        <v>50</v>
      </c>
      <c r="U114" s="15">
        <v>45401</v>
      </c>
      <c r="V114" s="14">
        <f>DATEDIF(Augmented_Data!$K114,Augmented_Data!$U114,"D")</f>
        <v>4</v>
      </c>
      <c r="W114" s="14" t="s">
        <v>1663</v>
      </c>
      <c r="X114" s="14">
        <f>Augmented_Data!$Z114-Augmented_Data!$AA114</f>
        <v>215.64799999999991</v>
      </c>
      <c r="Y114" s="14">
        <f>Augmented_Data!$N114*Augmented_Data!$O114</f>
        <v>1028.24</v>
      </c>
      <c r="Z114" s="14">
        <f>Augmented_Data!$Y114+Augmented_Data!$T114</f>
        <v>1078.24</v>
      </c>
      <c r="AA114" s="16">
        <f>IF(Augmented_Data!Q114="0 delivery charge",Augmented_Data!Z114-Augmented_Data!T114,Augmented_Data!Z114*(1-Augmented_Data!Q114))</f>
        <v>862.5920000000001</v>
      </c>
    </row>
    <row r="115" spans="1:27" x14ac:dyDescent="0.3">
      <c r="A115" s="11" t="s">
        <v>79</v>
      </c>
      <c r="B115" s="11" t="str">
        <f>_xlfn.CONCAT(Augmented_Data!$C115," ",Augmented_Data!$D115)</f>
        <v>Joseph Gaines</v>
      </c>
      <c r="C115" s="11" t="s">
        <v>129</v>
      </c>
      <c r="D115" s="11" t="s">
        <v>256</v>
      </c>
      <c r="E115" s="11">
        <v>47</v>
      </c>
      <c r="F115" s="11" t="s">
        <v>290</v>
      </c>
      <c r="G115" s="11" t="s">
        <v>295</v>
      </c>
      <c r="H115" s="11" t="s">
        <v>360</v>
      </c>
      <c r="I115" s="11" t="s">
        <v>460</v>
      </c>
      <c r="J115" s="11" t="s">
        <v>719</v>
      </c>
      <c r="K115" s="12">
        <v>45397</v>
      </c>
      <c r="L115" s="11" t="s">
        <v>1219</v>
      </c>
      <c r="M115" s="11" t="s">
        <v>1543</v>
      </c>
      <c r="N115" s="11">
        <v>381.73</v>
      </c>
      <c r="O115" s="11">
        <v>4</v>
      </c>
      <c r="P115" s="11" t="s">
        <v>1549</v>
      </c>
      <c r="Q115" s="11" t="str">
        <f>_xlfn.IFS(Augmented_Data!$P115="FLAT8","8%",Augmented_Data!$P115="FLAT10","10%",Augmented_Data!$P115="FLAT15","15%",Augmented_Data!$P115="FLAT20","20%",Augmented_Data!$P115="DEL0","0 delivery charge")</f>
        <v>10%</v>
      </c>
      <c r="R115" s="11">
        <v>1</v>
      </c>
      <c r="S115" s="11" t="str">
        <f>_xlfn.IFS(Augmented_Data!U115-Augmented_Data!K115=Augmented_Data!$R115,"Intime",Augmented_Data!U115-Augmented_Data!K115&lt;Augmented_Data!R115,"Before Time",Augmented_Data!U115-Augmented_Data!K115&gt;Augmented_Data!R115,"Late")</f>
        <v>Late</v>
      </c>
      <c r="T115" s="11">
        <v>66</v>
      </c>
      <c r="U115" s="12">
        <v>45400</v>
      </c>
      <c r="V115" s="11">
        <f>DATEDIF(Augmented_Data!$K115,Augmented_Data!$U115,"D")</f>
        <v>3</v>
      </c>
      <c r="W115" s="11" t="s">
        <v>1770</v>
      </c>
      <c r="X115" s="11">
        <f>Augmented_Data!$Z115-Augmented_Data!$AA115</f>
        <v>159.29199999999992</v>
      </c>
      <c r="Y115" s="11">
        <f>Augmented_Data!$N115*Augmented_Data!$O115</f>
        <v>1526.92</v>
      </c>
      <c r="Z115" s="11">
        <f>Augmented_Data!$Y115+Augmented_Data!$T115</f>
        <v>1592.92</v>
      </c>
      <c r="AA115" s="13">
        <f>IF(Augmented_Data!Q115="0 delivery charge",Augmented_Data!Z115-Augmented_Data!T115,Augmented_Data!Z115*(1-Augmented_Data!Q115))</f>
        <v>1433.6280000000002</v>
      </c>
    </row>
    <row r="116" spans="1:27" x14ac:dyDescent="0.3">
      <c r="A116" s="14" t="s">
        <v>91</v>
      </c>
      <c r="B116" s="14" t="str">
        <f>_xlfn.CONCAT(Augmented_Data!$C116," ",Augmented_Data!$D116)</f>
        <v>Barbara Fuller</v>
      </c>
      <c r="C116" s="14" t="s">
        <v>180</v>
      </c>
      <c r="D116" s="14" t="s">
        <v>267</v>
      </c>
      <c r="E116" s="14">
        <v>43</v>
      </c>
      <c r="F116" s="14" t="s">
        <v>290</v>
      </c>
      <c r="G116" s="14" t="s">
        <v>293</v>
      </c>
      <c r="H116" s="14" t="s">
        <v>372</v>
      </c>
      <c r="I116" s="14" t="s">
        <v>472</v>
      </c>
      <c r="J116" s="14" t="s">
        <v>613</v>
      </c>
      <c r="K116" s="15">
        <v>45276</v>
      </c>
      <c r="L116" s="14" t="s">
        <v>1113</v>
      </c>
      <c r="M116" s="14" t="s">
        <v>1528</v>
      </c>
      <c r="N116" s="14">
        <v>431.44</v>
      </c>
      <c r="O116" s="14">
        <v>5</v>
      </c>
      <c r="P116" s="14" t="s">
        <v>1548</v>
      </c>
      <c r="Q116" s="14" t="str">
        <f>_xlfn.IFS(Augmented_Data!$P116="FLAT8","8%",Augmented_Data!$P116="FLAT10","10%",Augmented_Data!$P116="FLAT15","15%",Augmented_Data!$P116="FLAT20","20%",Augmented_Data!$P116="DEL0","0 delivery charge")</f>
        <v>15%</v>
      </c>
      <c r="R116" s="14">
        <v>4</v>
      </c>
      <c r="S116" s="14" t="str">
        <f>_xlfn.IFS(Augmented_Data!U116-Augmented_Data!K116=Augmented_Data!$R116,"Intime",Augmented_Data!U116-Augmented_Data!K116&lt;Augmented_Data!R116,"Before Time",Augmented_Data!U116-Augmented_Data!K116&gt;Augmented_Data!R116,"Late")</f>
        <v>Intime</v>
      </c>
      <c r="T116" s="14">
        <v>42</v>
      </c>
      <c r="U116" s="15">
        <v>45280</v>
      </c>
      <c r="V116" s="14">
        <f>DATEDIF(Augmented_Data!$K116,Augmented_Data!$U116,"D")</f>
        <v>4</v>
      </c>
      <c r="W116" s="14" t="s">
        <v>1665</v>
      </c>
      <c r="X116" s="14">
        <f>Augmented_Data!$Z116-Augmented_Data!$AA116</f>
        <v>329.88000000000011</v>
      </c>
      <c r="Y116" s="14">
        <f>Augmented_Data!$N116*Augmented_Data!$O116</f>
        <v>2157.1999999999998</v>
      </c>
      <c r="Z116" s="14">
        <f>Augmented_Data!$Y116+Augmented_Data!$T116</f>
        <v>2199.1999999999998</v>
      </c>
      <c r="AA116" s="16">
        <f>IF(Augmented_Data!Q116="0 delivery charge",Augmented_Data!Z116-Augmented_Data!T116,Augmented_Data!Z116*(1-Augmented_Data!Q116))</f>
        <v>1869.3199999999997</v>
      </c>
    </row>
    <row r="117" spans="1:27" x14ac:dyDescent="0.3">
      <c r="A117" s="11" t="s">
        <v>73</v>
      </c>
      <c r="B117" s="11" t="str">
        <f>_xlfn.CONCAT(Augmented_Data!$C117," ",Augmented_Data!$D117)</f>
        <v>Brandon Cruz</v>
      </c>
      <c r="C117" s="11" t="s">
        <v>166</v>
      </c>
      <c r="D117" s="11" t="s">
        <v>251</v>
      </c>
      <c r="E117" s="11">
        <v>32</v>
      </c>
      <c r="F117" s="11" t="s">
        <v>290</v>
      </c>
      <c r="G117" s="11" t="s">
        <v>296</v>
      </c>
      <c r="H117" s="11" t="s">
        <v>354</v>
      </c>
      <c r="I117" s="11" t="s">
        <v>454</v>
      </c>
      <c r="J117" s="11" t="s">
        <v>614</v>
      </c>
      <c r="K117" s="12">
        <v>45131</v>
      </c>
      <c r="L117" s="11" t="s">
        <v>1114</v>
      </c>
      <c r="M117" s="11" t="s">
        <v>1508</v>
      </c>
      <c r="N117" s="11">
        <v>175.93</v>
      </c>
      <c r="O117" s="11">
        <v>5</v>
      </c>
      <c r="P117" s="11" t="s">
        <v>1547</v>
      </c>
      <c r="Q117" s="11" t="str">
        <f>_xlfn.IFS(Augmented_Data!$P117="FLAT8","8%",Augmented_Data!$P117="FLAT10","10%",Augmented_Data!$P117="FLAT15","15%",Augmented_Data!$P117="FLAT20","20%",Augmented_Data!$P117="DEL0","0 delivery charge")</f>
        <v>0 delivery charge</v>
      </c>
      <c r="R117" s="11">
        <v>5</v>
      </c>
      <c r="S117" s="11" t="str">
        <f>_xlfn.IFS(Augmented_Data!U117-Augmented_Data!K117=Augmented_Data!$R117,"Intime",Augmented_Data!U117-Augmented_Data!K117&lt;Augmented_Data!R117,"Before Time",Augmented_Data!U117-Augmented_Data!K117&gt;Augmented_Data!R117,"Late")</f>
        <v>Late</v>
      </c>
      <c r="T117" s="11">
        <v>63</v>
      </c>
      <c r="U117" s="12">
        <v>45138</v>
      </c>
      <c r="V117" s="11">
        <f>DATEDIF(Augmented_Data!$K117,Augmented_Data!$U117,"D")</f>
        <v>7</v>
      </c>
      <c r="W117" s="11" t="s">
        <v>1666</v>
      </c>
      <c r="X117" s="11">
        <f>Augmented_Data!$Z117-Augmented_Data!$AA117</f>
        <v>63</v>
      </c>
      <c r="Y117" s="11">
        <f>Augmented_Data!$N117*Augmented_Data!$O117</f>
        <v>879.65000000000009</v>
      </c>
      <c r="Z117" s="11">
        <f>Augmented_Data!$Y117+Augmented_Data!$T117</f>
        <v>942.65000000000009</v>
      </c>
      <c r="AA117" s="13">
        <f>IF(Augmented_Data!Q117="0 delivery charge",Augmented_Data!Z117-Augmented_Data!T117,Augmented_Data!Z117*(1-Augmented_Data!Q117))</f>
        <v>879.65000000000009</v>
      </c>
    </row>
    <row r="118" spans="1:27" x14ac:dyDescent="0.3">
      <c r="A118" s="14" t="s">
        <v>28</v>
      </c>
      <c r="B118" s="14" t="str">
        <f>_xlfn.CONCAT(Augmented_Data!$C118," ",Augmented_Data!$D118)</f>
        <v>Bobby Forbes</v>
      </c>
      <c r="C118" s="14" t="s">
        <v>128</v>
      </c>
      <c r="D118" s="14" t="s">
        <v>210</v>
      </c>
      <c r="E118" s="14">
        <v>20</v>
      </c>
      <c r="F118" s="14" t="s">
        <v>288</v>
      </c>
      <c r="G118" s="14" t="s">
        <v>296</v>
      </c>
      <c r="H118" s="14" t="s">
        <v>309</v>
      </c>
      <c r="I118" s="14" t="s">
        <v>409</v>
      </c>
      <c r="J118" s="14" t="s">
        <v>784</v>
      </c>
      <c r="K118" s="15">
        <v>45156</v>
      </c>
      <c r="L118" s="14" t="s">
        <v>1284</v>
      </c>
      <c r="M118" s="14" t="s">
        <v>1502</v>
      </c>
      <c r="N118" s="14">
        <v>202.54</v>
      </c>
      <c r="O118" s="14">
        <v>5</v>
      </c>
      <c r="P118" s="14" t="s">
        <v>2047</v>
      </c>
      <c r="Q118" s="14" t="str">
        <f>_xlfn.IFS(Augmented_Data!$P118="FLAT8","8%",Augmented_Data!$P118="FLAT10","10%",Augmented_Data!$P118="FLAT15","15%",Augmented_Data!$P118="FLAT20","20%",Augmented_Data!$P118="DEL0","0 delivery charge")</f>
        <v>8%</v>
      </c>
      <c r="R118" s="14">
        <v>2</v>
      </c>
      <c r="S118" s="14" t="str">
        <f>_xlfn.IFS(Augmented_Data!U118-Augmented_Data!K118=Augmented_Data!$R118,"Intime",Augmented_Data!U118-Augmented_Data!K118&lt;Augmented_Data!R118,"Before Time",Augmented_Data!U118-Augmented_Data!K118&gt;Augmented_Data!R118,"Late")</f>
        <v>Late</v>
      </c>
      <c r="T118" s="14">
        <v>68</v>
      </c>
      <c r="U118" s="15">
        <v>45159</v>
      </c>
      <c r="V118" s="14">
        <f>DATEDIF(Augmented_Data!$K118,Augmented_Data!$U118,"D")</f>
        <v>3</v>
      </c>
      <c r="W118" s="14" t="s">
        <v>1835</v>
      </c>
      <c r="X118" s="14">
        <f>Augmented_Data!$Z118-Augmented_Data!$AA118</f>
        <v>86.455999999999904</v>
      </c>
      <c r="Y118" s="14">
        <f>Augmented_Data!$N118*Augmented_Data!$O118</f>
        <v>1012.6999999999999</v>
      </c>
      <c r="Z118" s="14">
        <f>Augmented_Data!$Y118+Augmented_Data!$T118</f>
        <v>1080.6999999999998</v>
      </c>
      <c r="AA118" s="16">
        <f>IF(Augmented_Data!Q118="0 delivery charge",Augmented_Data!Z118-Augmented_Data!T118,Augmented_Data!Z118*(1-Augmented_Data!Q118))</f>
        <v>994.24399999999991</v>
      </c>
    </row>
    <row r="119" spans="1:27" x14ac:dyDescent="0.3">
      <c r="A119" s="11" t="s">
        <v>78</v>
      </c>
      <c r="B119" s="11" t="str">
        <f>_xlfn.CONCAT(Augmented_Data!$C119," ",Augmented_Data!$D119)</f>
        <v>Kelli Smith</v>
      </c>
      <c r="C119" s="11" t="s">
        <v>170</v>
      </c>
      <c r="D119" s="11" t="s">
        <v>240</v>
      </c>
      <c r="E119" s="11">
        <v>18</v>
      </c>
      <c r="F119" s="11" t="s">
        <v>289</v>
      </c>
      <c r="G119" s="11" t="s">
        <v>292</v>
      </c>
      <c r="H119" s="11" t="s">
        <v>359</v>
      </c>
      <c r="I119" s="11" t="s">
        <v>459</v>
      </c>
      <c r="J119" s="11" t="s">
        <v>616</v>
      </c>
      <c r="K119" s="12">
        <v>45023</v>
      </c>
      <c r="L119" s="11" t="s">
        <v>1116</v>
      </c>
      <c r="M119" s="11" t="s">
        <v>1507</v>
      </c>
      <c r="N119" s="11">
        <v>257.06</v>
      </c>
      <c r="O119" s="11">
        <v>4</v>
      </c>
      <c r="P119" s="11" t="s">
        <v>1549</v>
      </c>
      <c r="Q119" s="11" t="str">
        <f>_xlfn.IFS(Augmented_Data!$P119="FLAT8","8%",Augmented_Data!$P119="FLAT10","10%",Augmented_Data!$P119="FLAT15","15%",Augmented_Data!$P119="FLAT20","20%",Augmented_Data!$P119="DEL0","0 delivery charge")</f>
        <v>10%</v>
      </c>
      <c r="R119" s="11">
        <v>1</v>
      </c>
      <c r="S119" s="11" t="str">
        <f>_xlfn.IFS(Augmented_Data!U119-Augmented_Data!K119=Augmented_Data!$R119,"Intime",Augmented_Data!U119-Augmented_Data!K119&lt;Augmented_Data!R119,"Before Time",Augmented_Data!U119-Augmented_Data!K119&gt;Augmented_Data!R119,"Late")</f>
        <v>Late</v>
      </c>
      <c r="T119" s="11">
        <v>65</v>
      </c>
      <c r="U119" s="12">
        <v>45025</v>
      </c>
      <c r="V119" s="11">
        <f>DATEDIF(Augmented_Data!$K119,Augmented_Data!$U119,"D")</f>
        <v>2</v>
      </c>
      <c r="W119" s="11" t="s">
        <v>1668</v>
      </c>
      <c r="X119" s="11">
        <f>Augmented_Data!$Z119-Augmented_Data!$AA119</f>
        <v>109.32399999999996</v>
      </c>
      <c r="Y119" s="11">
        <f>Augmented_Data!$N119*Augmented_Data!$O119</f>
        <v>1028.24</v>
      </c>
      <c r="Z119" s="11">
        <f>Augmented_Data!$Y119+Augmented_Data!$T119</f>
        <v>1093.24</v>
      </c>
      <c r="AA119" s="13">
        <f>IF(Augmented_Data!Q119="0 delivery charge",Augmented_Data!Z119-Augmented_Data!T119,Augmented_Data!Z119*(1-Augmented_Data!Q119))</f>
        <v>983.91600000000005</v>
      </c>
    </row>
    <row r="120" spans="1:27" x14ac:dyDescent="0.3">
      <c r="A120" s="14" t="s">
        <v>92</v>
      </c>
      <c r="B120" s="14" t="str">
        <f>_xlfn.CONCAT(Augmented_Data!$C120," ",Augmented_Data!$D120)</f>
        <v>Kristina Haynes</v>
      </c>
      <c r="C120" s="14" t="s">
        <v>181</v>
      </c>
      <c r="D120" s="14" t="s">
        <v>268</v>
      </c>
      <c r="E120" s="14">
        <v>27</v>
      </c>
      <c r="F120" s="14" t="s">
        <v>288</v>
      </c>
      <c r="G120" s="14" t="s">
        <v>292</v>
      </c>
      <c r="H120" s="14" t="s">
        <v>373</v>
      </c>
      <c r="I120" s="14" t="s">
        <v>473</v>
      </c>
      <c r="J120" s="14" t="s">
        <v>617</v>
      </c>
      <c r="K120" s="15">
        <v>45183</v>
      </c>
      <c r="L120" s="14" t="s">
        <v>1117</v>
      </c>
      <c r="M120" s="14" t="s">
        <v>1542</v>
      </c>
      <c r="N120" s="14">
        <v>20</v>
      </c>
      <c r="O120" s="14">
        <v>1</v>
      </c>
      <c r="P120" s="14" t="s">
        <v>1549</v>
      </c>
      <c r="Q120" s="14" t="str">
        <f>_xlfn.IFS(Augmented_Data!$P120="FLAT8","8%",Augmented_Data!$P120="FLAT10","10%",Augmented_Data!$P120="FLAT15","15%",Augmented_Data!$P120="FLAT20","20%",Augmented_Data!$P120="DEL0","0 delivery charge")</f>
        <v>10%</v>
      </c>
      <c r="R120" s="14">
        <v>4</v>
      </c>
      <c r="S120" s="14" t="str">
        <f>_xlfn.IFS(Augmented_Data!U120-Augmented_Data!K120=Augmented_Data!$R120,"Intime",Augmented_Data!U120-Augmented_Data!K120&lt;Augmented_Data!R120,"Before Time",Augmented_Data!U120-Augmented_Data!K120&gt;Augmented_Data!R120,"Late")</f>
        <v>Before Time</v>
      </c>
      <c r="T120" s="14">
        <v>68</v>
      </c>
      <c r="U120" s="15">
        <v>45185</v>
      </c>
      <c r="V120" s="14">
        <f>DATEDIF(Augmented_Data!$K120,Augmented_Data!$U120,"D")</f>
        <v>2</v>
      </c>
      <c r="W120" s="14" t="s">
        <v>1669</v>
      </c>
      <c r="X120" s="14">
        <f>Augmented_Data!$Z120-Augmented_Data!$AA120</f>
        <v>8.7999999999999972</v>
      </c>
      <c r="Y120" s="14">
        <f>Augmented_Data!$N120*Augmented_Data!$O120</f>
        <v>20</v>
      </c>
      <c r="Z120" s="14">
        <f>Augmented_Data!$Y120+Augmented_Data!$T120</f>
        <v>88</v>
      </c>
      <c r="AA120" s="16">
        <f>IF(Augmented_Data!Q120="0 delivery charge",Augmented_Data!Z120-Augmented_Data!T120,Augmented_Data!Z120*(1-Augmented_Data!Q120))</f>
        <v>79.2</v>
      </c>
    </row>
    <row r="121" spans="1:27" x14ac:dyDescent="0.3">
      <c r="A121" s="11" t="s">
        <v>75</v>
      </c>
      <c r="B121" s="11" t="str">
        <f>_xlfn.CONCAT(Augmented_Data!$C121," ",Augmented_Data!$D121)</f>
        <v>Lindsey Byrd</v>
      </c>
      <c r="C121" s="11" t="s">
        <v>168</v>
      </c>
      <c r="D121" s="11" t="s">
        <v>253</v>
      </c>
      <c r="E121" s="11">
        <v>32</v>
      </c>
      <c r="F121" s="11" t="s">
        <v>288</v>
      </c>
      <c r="G121" s="11" t="s">
        <v>293</v>
      </c>
      <c r="H121" s="11" t="s">
        <v>356</v>
      </c>
      <c r="I121" s="11" t="s">
        <v>456</v>
      </c>
      <c r="J121" s="11" t="s">
        <v>572</v>
      </c>
      <c r="K121" s="12">
        <v>45106</v>
      </c>
      <c r="L121" s="11" t="s">
        <v>1072</v>
      </c>
      <c r="M121" s="11" t="s">
        <v>1513</v>
      </c>
      <c r="N121" s="11">
        <v>20.7</v>
      </c>
      <c r="O121" s="11">
        <v>2</v>
      </c>
      <c r="P121" s="11" t="s">
        <v>1547</v>
      </c>
      <c r="Q121" s="11" t="str">
        <f>_xlfn.IFS(Augmented_Data!$P121="FLAT8","8%",Augmented_Data!$P121="FLAT10","10%",Augmented_Data!$P121="FLAT15","15%",Augmented_Data!$P121="FLAT20","20%",Augmented_Data!$P121="DEL0","0 delivery charge")</f>
        <v>0 delivery charge</v>
      </c>
      <c r="R121" s="11">
        <v>7</v>
      </c>
      <c r="S121" s="11" t="str">
        <f>_xlfn.IFS(Augmented_Data!U121-Augmented_Data!K121=Augmented_Data!$R121,"Intime",Augmented_Data!U121-Augmented_Data!K121&lt;Augmented_Data!R121,"Before Time",Augmented_Data!U121-Augmented_Data!K121&gt;Augmented_Data!R121,"Late")</f>
        <v>Before Time</v>
      </c>
      <c r="T121" s="11">
        <v>43</v>
      </c>
      <c r="U121" s="12">
        <v>45107</v>
      </c>
      <c r="V121" s="11">
        <f>DATEDIF(Augmented_Data!$K121,Augmented_Data!$U121,"D")</f>
        <v>1</v>
      </c>
      <c r="W121" s="11" t="s">
        <v>1624</v>
      </c>
      <c r="X121" s="11">
        <f>Augmented_Data!$Z121-Augmented_Data!$AA121</f>
        <v>43</v>
      </c>
      <c r="Y121" s="11">
        <f>Augmented_Data!$N121*Augmented_Data!$O121</f>
        <v>41.4</v>
      </c>
      <c r="Z121" s="11">
        <f>Augmented_Data!$Y121+Augmented_Data!$T121</f>
        <v>84.4</v>
      </c>
      <c r="AA121" s="13">
        <f>IF(Augmented_Data!Q121="0 delivery charge",Augmented_Data!Z121-Augmented_Data!T121,Augmented_Data!Z121*(1-Augmented_Data!Q121))</f>
        <v>41.400000000000006</v>
      </c>
    </row>
    <row r="122" spans="1:27" x14ac:dyDescent="0.3">
      <c r="A122" s="14" t="s">
        <v>32</v>
      </c>
      <c r="B122" s="14" t="str">
        <f>_xlfn.CONCAT(Augmented_Data!$C122," ",Augmented_Data!$D122)</f>
        <v>Joshua Campbell</v>
      </c>
      <c r="C122" s="14" t="s">
        <v>132</v>
      </c>
      <c r="D122" s="14" t="s">
        <v>214</v>
      </c>
      <c r="E122" s="14">
        <v>24</v>
      </c>
      <c r="F122" s="14" t="s">
        <v>288</v>
      </c>
      <c r="G122" s="14" t="s">
        <v>293</v>
      </c>
      <c r="H122" s="14" t="s">
        <v>313</v>
      </c>
      <c r="I122" s="14" t="s">
        <v>413</v>
      </c>
      <c r="J122" s="14" t="s">
        <v>619</v>
      </c>
      <c r="K122" s="15">
        <v>45003</v>
      </c>
      <c r="L122" s="14" t="s">
        <v>1119</v>
      </c>
      <c r="M122" s="14" t="s">
        <v>1543</v>
      </c>
      <c r="N122" s="14">
        <v>381.73</v>
      </c>
      <c r="O122" s="14">
        <v>2</v>
      </c>
      <c r="P122" s="14" t="s">
        <v>1547</v>
      </c>
      <c r="Q122" s="14" t="str">
        <f>_xlfn.IFS(Augmented_Data!$P122="FLAT8","8%",Augmented_Data!$P122="FLAT10","10%",Augmented_Data!$P122="FLAT15","15%",Augmented_Data!$P122="FLAT20","20%",Augmented_Data!$P122="DEL0","0 delivery charge")</f>
        <v>0 delivery charge</v>
      </c>
      <c r="R122" s="14">
        <v>6</v>
      </c>
      <c r="S122" s="14" t="str">
        <f>_xlfn.IFS(Augmented_Data!U122-Augmented_Data!K122=Augmented_Data!$R122,"Intime",Augmented_Data!U122-Augmented_Data!K122&lt;Augmented_Data!R122,"Before Time",Augmented_Data!U122-Augmented_Data!K122&gt;Augmented_Data!R122,"Late")</f>
        <v>Before Time</v>
      </c>
      <c r="T122" s="14">
        <v>41</v>
      </c>
      <c r="U122" s="15">
        <v>45008</v>
      </c>
      <c r="V122" s="14">
        <f>DATEDIF(Augmented_Data!$K122,Augmented_Data!$U122,"D")</f>
        <v>5</v>
      </c>
      <c r="W122" s="14" t="s">
        <v>1671</v>
      </c>
      <c r="X122" s="14">
        <f>Augmented_Data!$Z122-Augmented_Data!$AA122</f>
        <v>41</v>
      </c>
      <c r="Y122" s="14">
        <f>Augmented_Data!$N122*Augmented_Data!$O122</f>
        <v>763.46</v>
      </c>
      <c r="Z122" s="14">
        <f>Augmented_Data!$Y122+Augmented_Data!$T122</f>
        <v>804.46</v>
      </c>
      <c r="AA122" s="16">
        <f>IF(Augmented_Data!Q122="0 delivery charge",Augmented_Data!Z122-Augmented_Data!T122,Augmented_Data!Z122*(1-Augmented_Data!Q122))</f>
        <v>763.46</v>
      </c>
    </row>
    <row r="123" spans="1:27" x14ac:dyDescent="0.3">
      <c r="A123" s="11" t="s">
        <v>48</v>
      </c>
      <c r="B123" s="11" t="str">
        <f>_xlfn.CONCAT(Augmented_Data!$C123," ",Augmented_Data!$D123)</f>
        <v>Heather Schneider</v>
      </c>
      <c r="C123" s="11" t="s">
        <v>146</v>
      </c>
      <c r="D123" s="11" t="s">
        <v>229</v>
      </c>
      <c r="E123" s="11">
        <v>48</v>
      </c>
      <c r="F123" s="11" t="s">
        <v>289</v>
      </c>
      <c r="G123" s="11" t="s">
        <v>296</v>
      </c>
      <c r="H123" s="11" t="s">
        <v>329</v>
      </c>
      <c r="I123" s="11" t="s">
        <v>429</v>
      </c>
      <c r="J123" s="11" t="s">
        <v>620</v>
      </c>
      <c r="K123" s="12">
        <v>45499</v>
      </c>
      <c r="L123" s="11" t="s">
        <v>1120</v>
      </c>
      <c r="M123" s="11" t="s">
        <v>1525</v>
      </c>
      <c r="N123" s="11">
        <v>481.48</v>
      </c>
      <c r="O123" s="11">
        <v>1</v>
      </c>
      <c r="P123" s="11" t="s">
        <v>2047</v>
      </c>
      <c r="Q123" s="11" t="str">
        <f>_xlfn.IFS(Augmented_Data!$P123="FLAT8","8%",Augmented_Data!$P123="FLAT10","10%",Augmented_Data!$P123="FLAT15","15%",Augmented_Data!$P123="FLAT20","20%",Augmented_Data!$P123="DEL0","0 delivery charge")</f>
        <v>8%</v>
      </c>
      <c r="R123" s="11">
        <v>1</v>
      </c>
      <c r="S123" s="11" t="str">
        <f>_xlfn.IFS(Augmented_Data!U123-Augmented_Data!K123=Augmented_Data!$R123,"Intime",Augmented_Data!U123-Augmented_Data!K123&lt;Augmented_Data!R123,"Before Time",Augmented_Data!U123-Augmented_Data!K123&gt;Augmented_Data!R123,"Late")</f>
        <v>Late</v>
      </c>
      <c r="T123" s="11">
        <v>69</v>
      </c>
      <c r="U123" s="12">
        <v>45503</v>
      </c>
      <c r="V123" s="11">
        <f>DATEDIF(Augmented_Data!$K123,Augmented_Data!$U123,"D")</f>
        <v>4</v>
      </c>
      <c r="W123" s="11" t="s">
        <v>1672</v>
      </c>
      <c r="X123" s="11">
        <f>Augmented_Data!$Z123-Augmented_Data!$AA123</f>
        <v>44.038399999999967</v>
      </c>
      <c r="Y123" s="11">
        <f>Augmented_Data!$N123*Augmented_Data!$O123</f>
        <v>481.48</v>
      </c>
      <c r="Z123" s="11">
        <f>Augmented_Data!$Y123+Augmented_Data!$T123</f>
        <v>550.48</v>
      </c>
      <c r="AA123" s="13">
        <f>IF(Augmented_Data!Q123="0 delivery charge",Augmented_Data!Z123-Augmented_Data!T123,Augmented_Data!Z123*(1-Augmented_Data!Q123))</f>
        <v>506.44160000000005</v>
      </c>
    </row>
    <row r="124" spans="1:27" x14ac:dyDescent="0.3">
      <c r="A124" s="14" t="s">
        <v>42</v>
      </c>
      <c r="B124" s="14" t="str">
        <f>_xlfn.CONCAT(Augmented_Data!$C124," ",Augmented_Data!$D124)</f>
        <v>Jason Nguyen</v>
      </c>
      <c r="C124" s="14" t="s">
        <v>140</v>
      </c>
      <c r="D124" s="14" t="s">
        <v>223</v>
      </c>
      <c r="E124" s="14">
        <v>51</v>
      </c>
      <c r="F124" s="14" t="s">
        <v>290</v>
      </c>
      <c r="G124" s="14" t="s">
        <v>294</v>
      </c>
      <c r="H124" s="14" t="s">
        <v>323</v>
      </c>
      <c r="I124" s="14" t="s">
        <v>423</v>
      </c>
      <c r="J124" s="14" t="s">
        <v>769</v>
      </c>
      <c r="K124" s="15">
        <v>45335</v>
      </c>
      <c r="L124" s="14" t="s">
        <v>1269</v>
      </c>
      <c r="M124" s="14" t="s">
        <v>1527</v>
      </c>
      <c r="N124" s="14">
        <v>77.84</v>
      </c>
      <c r="O124" s="14">
        <v>2</v>
      </c>
      <c r="P124" s="14" t="s">
        <v>2047</v>
      </c>
      <c r="Q124" s="14" t="str">
        <f>_xlfn.IFS(Augmented_Data!$P124="FLAT8","8%",Augmented_Data!$P124="FLAT10","10%",Augmented_Data!$P124="FLAT15","15%",Augmented_Data!$P124="FLAT20","20%",Augmented_Data!$P124="DEL0","0 delivery charge")</f>
        <v>8%</v>
      </c>
      <c r="R124" s="14">
        <v>6</v>
      </c>
      <c r="S124" s="14" t="str">
        <f>_xlfn.IFS(Augmented_Data!U124-Augmented_Data!K124=Augmented_Data!$R124,"Intime",Augmented_Data!U124-Augmented_Data!K124&lt;Augmented_Data!R124,"Before Time",Augmented_Data!U124-Augmented_Data!K124&gt;Augmented_Data!R124,"Late")</f>
        <v>Intime</v>
      </c>
      <c r="T124" s="14">
        <v>36</v>
      </c>
      <c r="U124" s="15">
        <v>45341</v>
      </c>
      <c r="V124" s="14">
        <f>DATEDIF(Augmented_Data!$K124,Augmented_Data!$U124,"D")</f>
        <v>6</v>
      </c>
      <c r="W124" s="14" t="s">
        <v>1820</v>
      </c>
      <c r="X124" s="14">
        <f>Augmented_Data!$Z124-Augmented_Data!$AA124</f>
        <v>15.334399999999988</v>
      </c>
      <c r="Y124" s="14">
        <f>Augmented_Data!$N124*Augmented_Data!$O124</f>
        <v>155.68</v>
      </c>
      <c r="Z124" s="14">
        <f>Augmented_Data!$Y124+Augmented_Data!$T124</f>
        <v>191.68</v>
      </c>
      <c r="AA124" s="16">
        <f>IF(Augmented_Data!Q124="0 delivery charge",Augmented_Data!Z124-Augmented_Data!T124,Augmented_Data!Z124*(1-Augmented_Data!Q124))</f>
        <v>176.34560000000002</v>
      </c>
    </row>
    <row r="125" spans="1:27" x14ac:dyDescent="0.3">
      <c r="A125" s="11" t="s">
        <v>58</v>
      </c>
      <c r="B125" s="11" t="str">
        <f>_xlfn.CONCAT(Augmented_Data!$C125," ",Augmented_Data!$D125)</f>
        <v>Jason Lopez</v>
      </c>
      <c r="C125" s="11" t="s">
        <v>140</v>
      </c>
      <c r="D125" s="11" t="s">
        <v>239</v>
      </c>
      <c r="E125" s="11">
        <v>40</v>
      </c>
      <c r="F125" s="11" t="s">
        <v>290</v>
      </c>
      <c r="G125" s="11" t="s">
        <v>297</v>
      </c>
      <c r="H125" s="11" t="s">
        <v>339</v>
      </c>
      <c r="I125" s="11" t="s">
        <v>439</v>
      </c>
      <c r="J125" s="11" t="s">
        <v>622</v>
      </c>
      <c r="K125" s="12">
        <v>45186</v>
      </c>
      <c r="L125" s="11" t="s">
        <v>1122</v>
      </c>
      <c r="M125" s="11" t="s">
        <v>1533</v>
      </c>
      <c r="N125" s="11">
        <v>136.30000000000001</v>
      </c>
      <c r="O125" s="11">
        <v>1</v>
      </c>
      <c r="P125" s="11" t="s">
        <v>1550</v>
      </c>
      <c r="Q125" s="11" t="str">
        <f>_xlfn.IFS(Augmented_Data!$P125="FLAT8","8%",Augmented_Data!$P125="FLAT10","10%",Augmented_Data!$P125="FLAT15","15%",Augmented_Data!$P125="FLAT20","20%",Augmented_Data!$P125="DEL0","0 delivery charge")</f>
        <v>20%</v>
      </c>
      <c r="R125" s="11">
        <v>4</v>
      </c>
      <c r="S125" s="11" t="str">
        <f>_xlfn.IFS(Augmented_Data!U125-Augmented_Data!K125=Augmented_Data!$R125,"Intime",Augmented_Data!U125-Augmented_Data!K125&lt;Augmented_Data!R125,"Before Time",Augmented_Data!U125-Augmented_Data!K125&gt;Augmented_Data!R125,"Late")</f>
        <v>Before Time</v>
      </c>
      <c r="T125" s="11">
        <v>41</v>
      </c>
      <c r="U125" s="12">
        <v>45189</v>
      </c>
      <c r="V125" s="11">
        <f>DATEDIF(Augmented_Data!$K125,Augmented_Data!$U125,"D")</f>
        <v>3</v>
      </c>
      <c r="W125" s="11" t="s">
        <v>1674</v>
      </c>
      <c r="X125" s="11">
        <f>Augmented_Data!$Z125-Augmented_Data!$AA125</f>
        <v>35.460000000000008</v>
      </c>
      <c r="Y125" s="11">
        <f>Augmented_Data!$N125*Augmented_Data!$O125</f>
        <v>136.30000000000001</v>
      </c>
      <c r="Z125" s="11">
        <f>Augmented_Data!$Y125+Augmented_Data!$T125</f>
        <v>177.3</v>
      </c>
      <c r="AA125" s="13">
        <f>IF(Augmented_Data!Q125="0 delivery charge",Augmented_Data!Z125-Augmented_Data!T125,Augmented_Data!Z125*(1-Augmented_Data!Q125))</f>
        <v>141.84</v>
      </c>
    </row>
    <row r="126" spans="1:27" x14ac:dyDescent="0.3">
      <c r="A126" s="14" t="s">
        <v>21</v>
      </c>
      <c r="B126" s="14" t="str">
        <f>_xlfn.CONCAT(Augmented_Data!$C126," ",Augmented_Data!$D126)</f>
        <v>John Ramirez</v>
      </c>
      <c r="C126" s="14" t="s">
        <v>121</v>
      </c>
      <c r="D126" s="14" t="s">
        <v>203</v>
      </c>
      <c r="E126" s="14">
        <v>28</v>
      </c>
      <c r="F126" s="14" t="s">
        <v>290</v>
      </c>
      <c r="G126" s="14" t="s">
        <v>294</v>
      </c>
      <c r="H126" s="14" t="s">
        <v>302</v>
      </c>
      <c r="I126" s="14" t="s">
        <v>402</v>
      </c>
      <c r="J126" s="14" t="s">
        <v>828</v>
      </c>
      <c r="K126" s="15">
        <v>45213</v>
      </c>
      <c r="L126" s="14" t="s">
        <v>1328</v>
      </c>
      <c r="M126" s="14" t="s">
        <v>1540</v>
      </c>
      <c r="N126" s="14">
        <v>424.82</v>
      </c>
      <c r="O126" s="14">
        <v>3</v>
      </c>
      <c r="P126" s="14" t="s">
        <v>2047</v>
      </c>
      <c r="Q126" s="14" t="str">
        <f>_xlfn.IFS(Augmented_Data!$P126="FLAT8","8%",Augmented_Data!$P126="FLAT10","10%",Augmented_Data!$P126="FLAT15","15%",Augmented_Data!$P126="FLAT20","20%",Augmented_Data!$P126="DEL0","0 delivery charge")</f>
        <v>8%</v>
      </c>
      <c r="R126" s="14">
        <v>2</v>
      </c>
      <c r="S126" s="14" t="str">
        <f>_xlfn.IFS(Augmented_Data!U126-Augmented_Data!K126=Augmented_Data!$R126,"Intime",Augmented_Data!U126-Augmented_Data!K126&lt;Augmented_Data!R126,"Before Time",Augmented_Data!U126-Augmented_Data!K126&gt;Augmented_Data!R126,"Late")</f>
        <v>Intime</v>
      </c>
      <c r="T126" s="14">
        <v>67</v>
      </c>
      <c r="U126" s="15">
        <v>45215</v>
      </c>
      <c r="V126" s="14">
        <f>DATEDIF(Augmented_Data!$K126,Augmented_Data!$U126,"D")</f>
        <v>2</v>
      </c>
      <c r="W126" s="14" t="s">
        <v>1879</v>
      </c>
      <c r="X126" s="14">
        <f>Augmented_Data!$Z126-Augmented_Data!$AA126</f>
        <v>107.31680000000006</v>
      </c>
      <c r="Y126" s="14">
        <f>Augmented_Data!$N126*Augmented_Data!$O126</f>
        <v>1274.46</v>
      </c>
      <c r="Z126" s="14">
        <f>Augmented_Data!$Y126+Augmented_Data!$T126</f>
        <v>1341.46</v>
      </c>
      <c r="AA126" s="16">
        <f>IF(Augmented_Data!Q126="0 delivery charge",Augmented_Data!Z126-Augmented_Data!T126,Augmented_Data!Z126*(1-Augmented_Data!Q126))</f>
        <v>1234.1432</v>
      </c>
    </row>
    <row r="127" spans="1:27" x14ac:dyDescent="0.3">
      <c r="A127" s="11" t="s">
        <v>36</v>
      </c>
      <c r="B127" s="11" t="str">
        <f>_xlfn.CONCAT(Augmented_Data!$C127," ",Augmented_Data!$D127)</f>
        <v>Traci Jones</v>
      </c>
      <c r="C127" s="11" t="s">
        <v>136</v>
      </c>
      <c r="D127" s="11" t="s">
        <v>217</v>
      </c>
      <c r="E127" s="11">
        <v>34</v>
      </c>
      <c r="F127" s="11" t="s">
        <v>288</v>
      </c>
      <c r="G127" s="11" t="s">
        <v>296</v>
      </c>
      <c r="H127" s="11" t="s">
        <v>317</v>
      </c>
      <c r="I127" s="11" t="s">
        <v>417</v>
      </c>
      <c r="J127" s="11" t="s">
        <v>624</v>
      </c>
      <c r="K127" s="12">
        <v>45667</v>
      </c>
      <c r="L127" s="11" t="s">
        <v>1124</v>
      </c>
      <c r="M127" s="11" t="s">
        <v>1533</v>
      </c>
      <c r="N127" s="11">
        <v>136.30000000000001</v>
      </c>
      <c r="O127" s="11">
        <v>2</v>
      </c>
      <c r="P127" s="11" t="s">
        <v>1549</v>
      </c>
      <c r="Q127" s="11" t="str">
        <f>_xlfn.IFS(Augmented_Data!$P127="FLAT8","8%",Augmented_Data!$P127="FLAT10","10%",Augmented_Data!$P127="FLAT15","15%",Augmented_Data!$P127="FLAT20","20%",Augmented_Data!$P127="DEL0","0 delivery charge")</f>
        <v>10%</v>
      </c>
      <c r="R127" s="11">
        <v>3</v>
      </c>
      <c r="S127" s="11" t="str">
        <f>_xlfn.IFS(Augmented_Data!U127-Augmented_Data!K127=Augmented_Data!$R127,"Intime",Augmented_Data!U127-Augmented_Data!K127&lt;Augmented_Data!R127,"Before Time",Augmented_Data!U127-Augmented_Data!K127&gt;Augmented_Data!R127,"Late")</f>
        <v>Late</v>
      </c>
      <c r="T127" s="11">
        <v>68</v>
      </c>
      <c r="U127" s="12">
        <v>45674</v>
      </c>
      <c r="V127" s="11">
        <f>DATEDIF(Augmented_Data!$K127,Augmented_Data!$U127,"D")</f>
        <v>7</v>
      </c>
      <c r="W127" s="11" t="s">
        <v>1676</v>
      </c>
      <c r="X127" s="11">
        <f>Augmented_Data!$Z127-Augmented_Data!$AA127</f>
        <v>34.06</v>
      </c>
      <c r="Y127" s="11">
        <f>Augmented_Data!$N127*Augmented_Data!$O127</f>
        <v>272.60000000000002</v>
      </c>
      <c r="Z127" s="11">
        <f>Augmented_Data!$Y127+Augmented_Data!$T127</f>
        <v>340.6</v>
      </c>
      <c r="AA127" s="13">
        <f>IF(Augmented_Data!Q127="0 delivery charge",Augmented_Data!Z127-Augmented_Data!T127,Augmented_Data!Z127*(1-Augmented_Data!Q127))</f>
        <v>306.54000000000002</v>
      </c>
    </row>
    <row r="128" spans="1:27" x14ac:dyDescent="0.3">
      <c r="A128" s="14" t="s">
        <v>31</v>
      </c>
      <c r="B128" s="14" t="str">
        <f>_xlfn.CONCAT(Augmented_Data!$C128," ",Augmented_Data!$D128)</f>
        <v>Amy Reid</v>
      </c>
      <c r="C128" s="14" t="s">
        <v>131</v>
      </c>
      <c r="D128" s="14" t="s">
        <v>213</v>
      </c>
      <c r="E128" s="14">
        <v>44</v>
      </c>
      <c r="F128" s="14" t="s">
        <v>289</v>
      </c>
      <c r="G128" s="14" t="s">
        <v>296</v>
      </c>
      <c r="H128" s="14" t="s">
        <v>312</v>
      </c>
      <c r="I128" s="14" t="s">
        <v>412</v>
      </c>
      <c r="J128" s="14" t="s">
        <v>625</v>
      </c>
      <c r="K128" s="15">
        <v>45636</v>
      </c>
      <c r="L128" s="14" t="s">
        <v>1125</v>
      </c>
      <c r="M128" s="14" t="s">
        <v>1528</v>
      </c>
      <c r="N128" s="14">
        <v>431.44</v>
      </c>
      <c r="O128" s="14">
        <v>4</v>
      </c>
      <c r="P128" s="14" t="s">
        <v>1548</v>
      </c>
      <c r="Q128" s="14" t="str">
        <f>_xlfn.IFS(Augmented_Data!$P128="FLAT8","8%",Augmented_Data!$P128="FLAT10","10%",Augmented_Data!$P128="FLAT15","15%",Augmented_Data!$P128="FLAT20","20%",Augmented_Data!$P128="DEL0","0 delivery charge")</f>
        <v>15%</v>
      </c>
      <c r="R128" s="14">
        <v>2</v>
      </c>
      <c r="S128" s="14" t="str">
        <f>_xlfn.IFS(Augmented_Data!U128-Augmented_Data!K128=Augmented_Data!$R128,"Intime",Augmented_Data!U128-Augmented_Data!K128&lt;Augmented_Data!R128,"Before Time",Augmented_Data!U128-Augmented_Data!K128&gt;Augmented_Data!R128,"Late")</f>
        <v>Before Time</v>
      </c>
      <c r="T128" s="14">
        <v>66</v>
      </c>
      <c r="U128" s="15">
        <v>45637</v>
      </c>
      <c r="V128" s="14">
        <f>DATEDIF(Augmented_Data!$K128,Augmented_Data!$U128,"D")</f>
        <v>1</v>
      </c>
      <c r="W128" s="14" t="s">
        <v>1677</v>
      </c>
      <c r="X128" s="14">
        <f>Augmented_Data!$Z128-Augmented_Data!$AA128</f>
        <v>268.76400000000012</v>
      </c>
      <c r="Y128" s="14">
        <f>Augmented_Data!$N128*Augmented_Data!$O128</f>
        <v>1725.76</v>
      </c>
      <c r="Z128" s="14">
        <f>Augmented_Data!$Y128+Augmented_Data!$T128</f>
        <v>1791.76</v>
      </c>
      <c r="AA128" s="16">
        <f>IF(Augmented_Data!Q128="0 delivery charge",Augmented_Data!Z128-Augmented_Data!T128,Augmented_Data!Z128*(1-Augmented_Data!Q128))</f>
        <v>1522.9959999999999</v>
      </c>
    </row>
    <row r="129" spans="1:27" x14ac:dyDescent="0.3">
      <c r="A129" s="11" t="s">
        <v>86</v>
      </c>
      <c r="B129" s="11" t="str">
        <f>_xlfn.CONCAT(Augmented_Data!$C129," ",Augmented_Data!$D129)</f>
        <v>Gregory Lee</v>
      </c>
      <c r="C129" s="11" t="s">
        <v>176</v>
      </c>
      <c r="D129" s="11" t="s">
        <v>263</v>
      </c>
      <c r="E129" s="11">
        <v>26</v>
      </c>
      <c r="F129" s="11" t="s">
        <v>290</v>
      </c>
      <c r="G129" s="11" t="s">
        <v>295</v>
      </c>
      <c r="H129" s="11" t="s">
        <v>367</v>
      </c>
      <c r="I129" s="11" t="s">
        <v>467</v>
      </c>
      <c r="J129" s="11" t="s">
        <v>626</v>
      </c>
      <c r="K129" s="12">
        <v>45450</v>
      </c>
      <c r="L129" s="11" t="s">
        <v>1126</v>
      </c>
      <c r="M129" s="11" t="s">
        <v>1515</v>
      </c>
      <c r="N129" s="11">
        <v>132.97</v>
      </c>
      <c r="O129" s="11">
        <v>5</v>
      </c>
      <c r="P129" s="11" t="s">
        <v>1550</v>
      </c>
      <c r="Q129" s="11" t="str">
        <f>_xlfn.IFS(Augmented_Data!$P129="FLAT8","8%",Augmented_Data!$P129="FLAT10","10%",Augmented_Data!$P129="FLAT15","15%",Augmented_Data!$P129="FLAT20","20%",Augmented_Data!$P129="DEL0","0 delivery charge")</f>
        <v>20%</v>
      </c>
      <c r="R129" s="11">
        <v>3</v>
      </c>
      <c r="S129" s="11" t="str">
        <f>_xlfn.IFS(Augmented_Data!U129-Augmented_Data!K129=Augmented_Data!$R129,"Intime",Augmented_Data!U129-Augmented_Data!K129&lt;Augmented_Data!R129,"Before Time",Augmented_Data!U129-Augmented_Data!K129&gt;Augmented_Data!R129,"Late")</f>
        <v>Before Time</v>
      </c>
      <c r="T129" s="11">
        <v>45</v>
      </c>
      <c r="U129" s="12">
        <v>45452</v>
      </c>
      <c r="V129" s="11">
        <f>DATEDIF(Augmented_Data!$K129,Augmented_Data!$U129,"D")</f>
        <v>2</v>
      </c>
      <c r="W129" s="11" t="s">
        <v>1678</v>
      </c>
      <c r="X129" s="11">
        <f>Augmented_Data!$Z129-Augmented_Data!$AA129</f>
        <v>141.97000000000003</v>
      </c>
      <c r="Y129" s="11">
        <f>Augmented_Data!$N129*Augmented_Data!$O129</f>
        <v>664.85</v>
      </c>
      <c r="Z129" s="11">
        <f>Augmented_Data!$Y129+Augmented_Data!$T129</f>
        <v>709.85</v>
      </c>
      <c r="AA129" s="13">
        <f>IF(Augmented_Data!Q129="0 delivery charge",Augmented_Data!Z129-Augmented_Data!T129,Augmented_Data!Z129*(1-Augmented_Data!Q129))</f>
        <v>567.88</v>
      </c>
    </row>
    <row r="130" spans="1:27" x14ac:dyDescent="0.3">
      <c r="A130" s="14" t="s">
        <v>42</v>
      </c>
      <c r="B130" s="14" t="str">
        <f>_xlfn.CONCAT(Augmented_Data!$C130," ",Augmented_Data!$D130)</f>
        <v>Jason Nguyen</v>
      </c>
      <c r="C130" s="14" t="s">
        <v>140</v>
      </c>
      <c r="D130" s="14" t="s">
        <v>223</v>
      </c>
      <c r="E130" s="14">
        <v>51</v>
      </c>
      <c r="F130" s="14" t="s">
        <v>290</v>
      </c>
      <c r="G130" s="14" t="s">
        <v>294</v>
      </c>
      <c r="H130" s="14" t="s">
        <v>323</v>
      </c>
      <c r="I130" s="14" t="s">
        <v>423</v>
      </c>
      <c r="J130" s="14" t="s">
        <v>776</v>
      </c>
      <c r="K130" s="15">
        <v>45598</v>
      </c>
      <c r="L130" s="14" t="s">
        <v>1276</v>
      </c>
      <c r="M130" s="14" t="s">
        <v>1511</v>
      </c>
      <c r="N130" s="14">
        <v>272.51</v>
      </c>
      <c r="O130" s="14">
        <v>4</v>
      </c>
      <c r="P130" s="14" t="s">
        <v>1547</v>
      </c>
      <c r="Q130" s="14" t="str">
        <f>_xlfn.IFS(Augmented_Data!$P130="FLAT8","8%",Augmented_Data!$P130="FLAT10","10%",Augmented_Data!$P130="FLAT15","15%",Augmented_Data!$P130="FLAT20","20%",Augmented_Data!$P130="DEL0","0 delivery charge")</f>
        <v>0 delivery charge</v>
      </c>
      <c r="R130" s="14">
        <v>2</v>
      </c>
      <c r="S130" s="14" t="str">
        <f>_xlfn.IFS(Augmented_Data!U130-Augmented_Data!K130=Augmented_Data!$R130,"Intime",Augmented_Data!U130-Augmented_Data!K130&lt;Augmented_Data!R130,"Before Time",Augmented_Data!U130-Augmented_Data!K130&gt;Augmented_Data!R130,"Late")</f>
        <v>Before Time</v>
      </c>
      <c r="T130" s="14">
        <v>42</v>
      </c>
      <c r="U130" s="15">
        <v>45599</v>
      </c>
      <c r="V130" s="14">
        <f>DATEDIF(Augmented_Data!$K130,Augmented_Data!$U130,"D")</f>
        <v>1</v>
      </c>
      <c r="W130" s="14" t="s">
        <v>1827</v>
      </c>
      <c r="X130" s="14">
        <f>Augmented_Data!$Z130-Augmented_Data!$AA130</f>
        <v>42</v>
      </c>
      <c r="Y130" s="14">
        <f>Augmented_Data!$N130*Augmented_Data!$O130</f>
        <v>1090.04</v>
      </c>
      <c r="Z130" s="14">
        <f>Augmented_Data!$Y130+Augmented_Data!$T130</f>
        <v>1132.04</v>
      </c>
      <c r="AA130" s="16">
        <f>IF(Augmented_Data!Q130="0 delivery charge",Augmented_Data!Z130-Augmented_Data!T130,Augmented_Data!Z130*(1-Augmented_Data!Q130))</f>
        <v>1090.04</v>
      </c>
    </row>
    <row r="131" spans="1:27" x14ac:dyDescent="0.3">
      <c r="A131" s="11" t="s">
        <v>19</v>
      </c>
      <c r="B131" s="11" t="str">
        <f>_xlfn.CONCAT(Augmented_Data!$C131," ",Augmented_Data!$D131)</f>
        <v>Anthony Thomas</v>
      </c>
      <c r="C131" s="11" t="s">
        <v>119</v>
      </c>
      <c r="D131" s="11" t="s">
        <v>154</v>
      </c>
      <c r="E131" s="11">
        <v>53</v>
      </c>
      <c r="F131" s="11" t="s">
        <v>289</v>
      </c>
      <c r="G131" s="11" t="s">
        <v>292</v>
      </c>
      <c r="H131" s="11" t="s">
        <v>300</v>
      </c>
      <c r="I131" s="11" t="s">
        <v>400</v>
      </c>
      <c r="J131" s="11" t="s">
        <v>628</v>
      </c>
      <c r="K131" s="12">
        <v>45589</v>
      </c>
      <c r="L131" s="11" t="s">
        <v>1128</v>
      </c>
      <c r="M131" s="11" t="s">
        <v>1502</v>
      </c>
      <c r="N131" s="11">
        <v>202.54</v>
      </c>
      <c r="O131" s="11">
        <v>2</v>
      </c>
      <c r="P131" s="11" t="s">
        <v>1550</v>
      </c>
      <c r="Q131" s="11" t="str">
        <f>_xlfn.IFS(Augmented_Data!$P131="FLAT8","8%",Augmented_Data!$P131="FLAT10","10%",Augmented_Data!$P131="FLAT15","15%",Augmented_Data!$P131="FLAT20","20%",Augmented_Data!$P131="DEL0","0 delivery charge")</f>
        <v>20%</v>
      </c>
      <c r="R131" s="11">
        <v>6</v>
      </c>
      <c r="S131" s="11" t="str">
        <f>_xlfn.IFS(Augmented_Data!U131-Augmented_Data!K131=Augmented_Data!$R131,"Intime",Augmented_Data!U131-Augmented_Data!K131&lt;Augmented_Data!R131,"Before Time",Augmented_Data!U131-Augmented_Data!K131&gt;Augmented_Data!R131,"Late")</f>
        <v>Before Time</v>
      </c>
      <c r="T131" s="11">
        <v>70</v>
      </c>
      <c r="U131" s="12">
        <v>45594</v>
      </c>
      <c r="V131" s="11">
        <f>DATEDIF(Augmented_Data!$K131,Augmented_Data!$U131,"D")</f>
        <v>5</v>
      </c>
      <c r="W131" s="11" t="s">
        <v>1680</v>
      </c>
      <c r="X131" s="11">
        <f>Augmented_Data!$Z131-Augmented_Data!$AA131</f>
        <v>95.015999999999963</v>
      </c>
      <c r="Y131" s="11">
        <f>Augmented_Data!$N131*Augmented_Data!$O131</f>
        <v>405.08</v>
      </c>
      <c r="Z131" s="11">
        <f>Augmented_Data!$Y131+Augmented_Data!$T131</f>
        <v>475.08</v>
      </c>
      <c r="AA131" s="13">
        <f>IF(Augmented_Data!Q131="0 delivery charge",Augmented_Data!Z131-Augmented_Data!T131,Augmented_Data!Z131*(1-Augmented_Data!Q131))</f>
        <v>380.06400000000002</v>
      </c>
    </row>
    <row r="132" spans="1:27" x14ac:dyDescent="0.3">
      <c r="A132" s="14" t="s">
        <v>26</v>
      </c>
      <c r="B132" s="14" t="str">
        <f>_xlfn.CONCAT(Augmented_Data!$C132," ",Augmented_Data!$D132)</f>
        <v>Marcus Valenzuela</v>
      </c>
      <c r="C132" s="14" t="s">
        <v>126</v>
      </c>
      <c r="D132" s="14" t="s">
        <v>208</v>
      </c>
      <c r="E132" s="14">
        <v>39</v>
      </c>
      <c r="F132" s="14" t="s">
        <v>288</v>
      </c>
      <c r="G132" s="14" t="s">
        <v>291</v>
      </c>
      <c r="H132" s="14" t="s">
        <v>307</v>
      </c>
      <c r="I132" s="14" t="s">
        <v>407</v>
      </c>
      <c r="J132" s="14" t="s">
        <v>629</v>
      </c>
      <c r="K132" s="15">
        <v>45689</v>
      </c>
      <c r="L132" s="14" t="s">
        <v>1129</v>
      </c>
      <c r="M132" s="14" t="s">
        <v>1533</v>
      </c>
      <c r="N132" s="14">
        <v>136.30000000000001</v>
      </c>
      <c r="O132" s="14">
        <v>2</v>
      </c>
      <c r="P132" s="14" t="s">
        <v>1549</v>
      </c>
      <c r="Q132" s="14" t="str">
        <f>_xlfn.IFS(Augmented_Data!$P132="FLAT8","8%",Augmented_Data!$P132="FLAT10","10%",Augmented_Data!$P132="FLAT15","15%",Augmented_Data!$P132="FLAT20","20%",Augmented_Data!$P132="DEL0","0 delivery charge")</f>
        <v>10%</v>
      </c>
      <c r="R132" s="14">
        <v>2</v>
      </c>
      <c r="S132" s="14" t="str">
        <f>_xlfn.IFS(Augmented_Data!U132-Augmented_Data!K132=Augmented_Data!$R132,"Intime",Augmented_Data!U132-Augmented_Data!K132&lt;Augmented_Data!R132,"Before Time",Augmented_Data!U132-Augmented_Data!K132&gt;Augmented_Data!R132,"Late")</f>
        <v>Late</v>
      </c>
      <c r="T132" s="14">
        <v>51</v>
      </c>
      <c r="U132" s="15">
        <v>45694</v>
      </c>
      <c r="V132" s="14">
        <f>DATEDIF(Augmented_Data!$K132,Augmented_Data!$U132,"D")</f>
        <v>5</v>
      </c>
      <c r="W132" s="14" t="s">
        <v>1681</v>
      </c>
      <c r="X132" s="14">
        <f>Augmented_Data!$Z132-Augmented_Data!$AA132</f>
        <v>32.360000000000014</v>
      </c>
      <c r="Y132" s="14">
        <f>Augmented_Data!$N132*Augmented_Data!$O132</f>
        <v>272.60000000000002</v>
      </c>
      <c r="Z132" s="14">
        <f>Augmented_Data!$Y132+Augmented_Data!$T132</f>
        <v>323.60000000000002</v>
      </c>
      <c r="AA132" s="16">
        <f>IF(Augmented_Data!Q132="0 delivery charge",Augmented_Data!Z132-Augmented_Data!T132,Augmented_Data!Z132*(1-Augmented_Data!Q132))</f>
        <v>291.24</v>
      </c>
    </row>
    <row r="133" spans="1:27" x14ac:dyDescent="0.3">
      <c r="A133" s="11" t="s">
        <v>40</v>
      </c>
      <c r="B133" s="11" t="str">
        <f>_xlfn.CONCAT(Augmented_Data!$C133," ",Augmented_Data!$D133)</f>
        <v>John Herrera</v>
      </c>
      <c r="C133" s="11" t="s">
        <v>121</v>
      </c>
      <c r="D133" s="11" t="s">
        <v>221</v>
      </c>
      <c r="E133" s="11">
        <v>64</v>
      </c>
      <c r="F133" s="11" t="s">
        <v>289</v>
      </c>
      <c r="G133" s="11" t="s">
        <v>292</v>
      </c>
      <c r="H133" s="11" t="s">
        <v>321</v>
      </c>
      <c r="I133" s="11" t="s">
        <v>421</v>
      </c>
      <c r="J133" s="11" t="s">
        <v>630</v>
      </c>
      <c r="K133" s="12">
        <v>45094</v>
      </c>
      <c r="L133" s="11" t="s">
        <v>1130</v>
      </c>
      <c r="M133" s="11" t="s">
        <v>1536</v>
      </c>
      <c r="N133" s="11">
        <v>403.03</v>
      </c>
      <c r="O133" s="11">
        <v>5</v>
      </c>
      <c r="P133" s="11" t="s">
        <v>1547</v>
      </c>
      <c r="Q133" s="11" t="str">
        <f>_xlfn.IFS(Augmented_Data!$P133="FLAT8","8%",Augmented_Data!$P133="FLAT10","10%",Augmented_Data!$P133="FLAT15","15%",Augmented_Data!$P133="FLAT20","20%",Augmented_Data!$P133="DEL0","0 delivery charge")</f>
        <v>0 delivery charge</v>
      </c>
      <c r="R133" s="11">
        <v>7</v>
      </c>
      <c r="S133" s="11" t="str">
        <f>_xlfn.IFS(Augmented_Data!U133-Augmented_Data!K133=Augmented_Data!$R133,"Intime",Augmented_Data!U133-Augmented_Data!K133&lt;Augmented_Data!R133,"Before Time",Augmented_Data!U133-Augmented_Data!K133&gt;Augmented_Data!R133,"Late")</f>
        <v>Before Time</v>
      </c>
      <c r="T133" s="11">
        <v>52</v>
      </c>
      <c r="U133" s="12">
        <v>45097</v>
      </c>
      <c r="V133" s="11">
        <f>DATEDIF(Augmented_Data!$K133,Augmented_Data!$U133,"D")</f>
        <v>3</v>
      </c>
      <c r="W133" s="11" t="s">
        <v>1682</v>
      </c>
      <c r="X133" s="11">
        <f>Augmented_Data!$Z133-Augmented_Data!$AA133</f>
        <v>52</v>
      </c>
      <c r="Y133" s="11">
        <f>Augmented_Data!$N133*Augmented_Data!$O133</f>
        <v>2015.1499999999999</v>
      </c>
      <c r="Z133" s="11">
        <f>Augmented_Data!$Y133+Augmented_Data!$T133</f>
        <v>2067.1499999999996</v>
      </c>
      <c r="AA133" s="13">
        <f>IF(Augmented_Data!Q133="0 delivery charge",Augmented_Data!Z133-Augmented_Data!T133,Augmented_Data!Z133*(1-Augmented_Data!Q133))</f>
        <v>2015.1499999999996</v>
      </c>
    </row>
    <row r="134" spans="1:27" x14ac:dyDescent="0.3">
      <c r="A134" s="14" t="s">
        <v>53</v>
      </c>
      <c r="B134" s="14" t="str">
        <f>_xlfn.CONCAT(Augmented_Data!$C134," ",Augmented_Data!$D134)</f>
        <v>Donna Oneill</v>
      </c>
      <c r="C134" s="14" t="s">
        <v>151</v>
      </c>
      <c r="D134" s="14" t="s">
        <v>234</v>
      </c>
      <c r="E134" s="14">
        <v>70</v>
      </c>
      <c r="F134" s="14" t="s">
        <v>288</v>
      </c>
      <c r="G134" s="14" t="s">
        <v>297</v>
      </c>
      <c r="H134" s="14" t="s">
        <v>334</v>
      </c>
      <c r="I134" s="14" t="s">
        <v>434</v>
      </c>
      <c r="J134" s="14" t="s">
        <v>631</v>
      </c>
      <c r="K134" s="15">
        <v>45281</v>
      </c>
      <c r="L134" s="14" t="s">
        <v>1131</v>
      </c>
      <c r="M134" s="14" t="s">
        <v>1536</v>
      </c>
      <c r="N134" s="14">
        <v>403.03</v>
      </c>
      <c r="O134" s="14">
        <v>4</v>
      </c>
      <c r="P134" s="14" t="s">
        <v>1549</v>
      </c>
      <c r="Q134" s="14" t="str">
        <f>_xlfn.IFS(Augmented_Data!$P134="FLAT8","8%",Augmented_Data!$P134="FLAT10","10%",Augmented_Data!$P134="FLAT15","15%",Augmented_Data!$P134="FLAT20","20%",Augmented_Data!$P134="DEL0","0 delivery charge")</f>
        <v>10%</v>
      </c>
      <c r="R134" s="14">
        <v>6</v>
      </c>
      <c r="S134" s="14" t="str">
        <f>_xlfn.IFS(Augmented_Data!U134-Augmented_Data!K134=Augmented_Data!$R134,"Intime",Augmented_Data!U134-Augmented_Data!K134&lt;Augmented_Data!R134,"Before Time",Augmented_Data!U134-Augmented_Data!K134&gt;Augmented_Data!R134,"Late")</f>
        <v>Before Time</v>
      </c>
      <c r="T134" s="14">
        <v>47</v>
      </c>
      <c r="U134" s="15">
        <v>45283</v>
      </c>
      <c r="V134" s="14">
        <f>DATEDIF(Augmented_Data!$K134,Augmented_Data!$U134,"D")</f>
        <v>2</v>
      </c>
      <c r="W134" s="14" t="s">
        <v>1683</v>
      </c>
      <c r="X134" s="14">
        <f>Augmented_Data!$Z134-Augmented_Data!$AA134</f>
        <v>165.91200000000003</v>
      </c>
      <c r="Y134" s="14">
        <f>Augmented_Data!$N134*Augmented_Data!$O134</f>
        <v>1612.12</v>
      </c>
      <c r="Z134" s="14">
        <f>Augmented_Data!$Y134+Augmented_Data!$T134</f>
        <v>1659.12</v>
      </c>
      <c r="AA134" s="16">
        <f>IF(Augmented_Data!Q134="0 delivery charge",Augmented_Data!Z134-Augmented_Data!T134,Augmented_Data!Z134*(1-Augmented_Data!Q134))</f>
        <v>1493.2079999999999</v>
      </c>
    </row>
    <row r="135" spans="1:27" x14ac:dyDescent="0.3">
      <c r="A135" s="11" t="s">
        <v>94</v>
      </c>
      <c r="B135" s="11" t="str">
        <f>_xlfn.CONCAT(Augmented_Data!$C135," ",Augmented_Data!$D135)</f>
        <v>Edward Black</v>
      </c>
      <c r="C135" s="11" t="s">
        <v>183</v>
      </c>
      <c r="D135" s="11" t="s">
        <v>270</v>
      </c>
      <c r="E135" s="11">
        <v>42</v>
      </c>
      <c r="F135" s="11" t="s">
        <v>288</v>
      </c>
      <c r="G135" s="11" t="s">
        <v>295</v>
      </c>
      <c r="H135" s="11" t="s">
        <v>375</v>
      </c>
      <c r="I135" s="11" t="s">
        <v>475</v>
      </c>
      <c r="J135" s="11" t="s">
        <v>632</v>
      </c>
      <c r="K135" s="12">
        <v>44979</v>
      </c>
      <c r="L135" s="11" t="s">
        <v>1132</v>
      </c>
      <c r="M135" s="11" t="s">
        <v>1509</v>
      </c>
      <c r="N135" s="11">
        <v>190.1</v>
      </c>
      <c r="O135" s="11">
        <v>5</v>
      </c>
      <c r="P135" s="11" t="s">
        <v>1550</v>
      </c>
      <c r="Q135" s="11" t="str">
        <f>_xlfn.IFS(Augmented_Data!$P135="FLAT8","8%",Augmented_Data!$P135="FLAT10","10%",Augmented_Data!$P135="FLAT15","15%",Augmented_Data!$P135="FLAT20","20%",Augmented_Data!$P135="DEL0","0 delivery charge")</f>
        <v>20%</v>
      </c>
      <c r="R135" s="11">
        <v>4</v>
      </c>
      <c r="S135" s="11" t="str">
        <f>_xlfn.IFS(Augmented_Data!U135-Augmented_Data!K135=Augmented_Data!$R135,"Intime",Augmented_Data!U135-Augmented_Data!K135&lt;Augmented_Data!R135,"Before Time",Augmented_Data!U135-Augmented_Data!K135&gt;Augmented_Data!R135,"Late")</f>
        <v>Late</v>
      </c>
      <c r="T135" s="11">
        <v>37</v>
      </c>
      <c r="U135" s="12">
        <v>44984</v>
      </c>
      <c r="V135" s="11">
        <f>DATEDIF(Augmented_Data!$K135,Augmented_Data!$U135,"D")</f>
        <v>5</v>
      </c>
      <c r="W135" s="11" t="s">
        <v>1684</v>
      </c>
      <c r="X135" s="11">
        <f>Augmented_Data!$Z135-Augmented_Data!$AA135</f>
        <v>197.5</v>
      </c>
      <c r="Y135" s="11">
        <f>Augmented_Data!$N135*Augmented_Data!$O135</f>
        <v>950.5</v>
      </c>
      <c r="Z135" s="11">
        <f>Augmented_Data!$Y135+Augmented_Data!$T135</f>
        <v>987.5</v>
      </c>
      <c r="AA135" s="13">
        <f>IF(Augmented_Data!Q135="0 delivery charge",Augmented_Data!Z135-Augmented_Data!T135,Augmented_Data!Z135*(1-Augmented_Data!Q135))</f>
        <v>790</v>
      </c>
    </row>
    <row r="136" spans="1:27" x14ac:dyDescent="0.3">
      <c r="A136" s="14" t="s">
        <v>95</v>
      </c>
      <c r="B136" s="14" t="str">
        <f>_xlfn.CONCAT(Augmented_Data!$C136," ",Augmented_Data!$D136)</f>
        <v>James Brown</v>
      </c>
      <c r="C136" s="14" t="s">
        <v>184</v>
      </c>
      <c r="D136" s="14" t="s">
        <v>271</v>
      </c>
      <c r="E136" s="14">
        <v>60</v>
      </c>
      <c r="F136" s="14" t="s">
        <v>288</v>
      </c>
      <c r="G136" s="14" t="s">
        <v>294</v>
      </c>
      <c r="H136" s="14" t="s">
        <v>376</v>
      </c>
      <c r="I136" s="14" t="s">
        <v>476</v>
      </c>
      <c r="J136" s="14" t="s">
        <v>633</v>
      </c>
      <c r="K136" s="15">
        <v>45663</v>
      </c>
      <c r="L136" s="14" t="s">
        <v>1133</v>
      </c>
      <c r="M136" s="14" t="s">
        <v>1533</v>
      </c>
      <c r="N136" s="14">
        <v>136.30000000000001</v>
      </c>
      <c r="O136" s="14">
        <v>4</v>
      </c>
      <c r="P136" s="14" t="s">
        <v>1547</v>
      </c>
      <c r="Q136" s="14" t="str">
        <f>_xlfn.IFS(Augmented_Data!$P136="FLAT8","8%",Augmented_Data!$P136="FLAT10","10%",Augmented_Data!$P136="FLAT15","15%",Augmented_Data!$P136="FLAT20","20%",Augmented_Data!$P136="DEL0","0 delivery charge")</f>
        <v>0 delivery charge</v>
      </c>
      <c r="R136" s="14">
        <v>5</v>
      </c>
      <c r="S136" s="14" t="str">
        <f>_xlfn.IFS(Augmented_Data!U136-Augmented_Data!K136=Augmented_Data!$R136,"Intime",Augmented_Data!U136-Augmented_Data!K136&lt;Augmented_Data!R136,"Before Time",Augmented_Data!U136-Augmented_Data!K136&gt;Augmented_Data!R136,"Late")</f>
        <v>Intime</v>
      </c>
      <c r="T136" s="14">
        <v>61</v>
      </c>
      <c r="U136" s="15">
        <v>45668</v>
      </c>
      <c r="V136" s="14">
        <f>DATEDIF(Augmented_Data!$K136,Augmented_Data!$U136,"D")</f>
        <v>5</v>
      </c>
      <c r="W136" s="14" t="s">
        <v>1685</v>
      </c>
      <c r="X136" s="14">
        <f>Augmented_Data!$Z136-Augmented_Data!$AA136</f>
        <v>61</v>
      </c>
      <c r="Y136" s="14">
        <f>Augmented_Data!$N136*Augmented_Data!$O136</f>
        <v>545.20000000000005</v>
      </c>
      <c r="Z136" s="14">
        <f>Augmented_Data!$Y136+Augmented_Data!$T136</f>
        <v>606.20000000000005</v>
      </c>
      <c r="AA136" s="16">
        <f>IF(Augmented_Data!Q136="0 delivery charge",Augmented_Data!Z136-Augmented_Data!T136,Augmented_Data!Z136*(1-Augmented_Data!Q136))</f>
        <v>545.20000000000005</v>
      </c>
    </row>
    <row r="137" spans="1:27" x14ac:dyDescent="0.3">
      <c r="A137" s="11" t="s">
        <v>96</v>
      </c>
      <c r="B137" s="11" t="str">
        <f>_xlfn.CONCAT(Augmented_Data!$C137," ",Augmented_Data!$D137)</f>
        <v>Leslie Montgomery</v>
      </c>
      <c r="C137" s="11" t="s">
        <v>185</v>
      </c>
      <c r="D137" s="11" t="s">
        <v>272</v>
      </c>
      <c r="E137" s="11">
        <v>26</v>
      </c>
      <c r="F137" s="11" t="s">
        <v>289</v>
      </c>
      <c r="G137" s="11" t="s">
        <v>293</v>
      </c>
      <c r="H137" s="11" t="s">
        <v>377</v>
      </c>
      <c r="I137" s="11" t="s">
        <v>477</v>
      </c>
      <c r="J137" s="11" t="s">
        <v>634</v>
      </c>
      <c r="K137" s="12">
        <v>45226</v>
      </c>
      <c r="L137" s="11" t="s">
        <v>1134</v>
      </c>
      <c r="M137" s="11" t="s">
        <v>1539</v>
      </c>
      <c r="N137" s="11">
        <v>235.63</v>
      </c>
      <c r="O137" s="11">
        <v>1</v>
      </c>
      <c r="P137" s="11" t="s">
        <v>1550</v>
      </c>
      <c r="Q137" s="11" t="str">
        <f>_xlfn.IFS(Augmented_Data!$P137="FLAT8","8%",Augmented_Data!$P137="FLAT10","10%",Augmented_Data!$P137="FLAT15","15%",Augmented_Data!$P137="FLAT20","20%",Augmented_Data!$P137="DEL0","0 delivery charge")</f>
        <v>20%</v>
      </c>
      <c r="R137" s="11">
        <v>2</v>
      </c>
      <c r="S137" s="11" t="str">
        <f>_xlfn.IFS(Augmented_Data!U137-Augmented_Data!K137=Augmented_Data!$R137,"Intime",Augmented_Data!U137-Augmented_Data!K137&lt;Augmented_Data!R137,"Before Time",Augmented_Data!U137-Augmented_Data!K137&gt;Augmented_Data!R137,"Late")</f>
        <v>Late</v>
      </c>
      <c r="T137" s="11">
        <v>66</v>
      </c>
      <c r="U137" s="12">
        <v>45233</v>
      </c>
      <c r="V137" s="11">
        <f>DATEDIF(Augmented_Data!$K137,Augmented_Data!$U137,"D")</f>
        <v>7</v>
      </c>
      <c r="W137" s="11" t="s">
        <v>1686</v>
      </c>
      <c r="X137" s="11">
        <f>Augmented_Data!$Z137-Augmented_Data!$AA137</f>
        <v>60.325999999999993</v>
      </c>
      <c r="Y137" s="11">
        <f>Augmented_Data!$N137*Augmented_Data!$O137</f>
        <v>235.63</v>
      </c>
      <c r="Z137" s="11">
        <f>Augmented_Data!$Y137+Augmented_Data!$T137</f>
        <v>301.63</v>
      </c>
      <c r="AA137" s="13">
        <f>IF(Augmented_Data!Q137="0 delivery charge",Augmented_Data!Z137-Augmented_Data!T137,Augmented_Data!Z137*(1-Augmented_Data!Q137))</f>
        <v>241.304</v>
      </c>
    </row>
    <row r="138" spans="1:27" x14ac:dyDescent="0.3">
      <c r="A138" s="14" t="s">
        <v>97</v>
      </c>
      <c r="B138" s="14" t="str">
        <f>_xlfn.CONCAT(Augmented_Data!$C138," ",Augmented_Data!$D138)</f>
        <v>Susan Thompson</v>
      </c>
      <c r="C138" s="14" t="s">
        <v>186</v>
      </c>
      <c r="D138" s="14" t="s">
        <v>238</v>
      </c>
      <c r="E138" s="14">
        <v>37</v>
      </c>
      <c r="F138" s="14" t="s">
        <v>290</v>
      </c>
      <c r="G138" s="14" t="s">
        <v>298</v>
      </c>
      <c r="H138" s="14" t="s">
        <v>378</v>
      </c>
      <c r="I138" s="14" t="s">
        <v>478</v>
      </c>
      <c r="J138" s="14" t="s">
        <v>635</v>
      </c>
      <c r="K138" s="15">
        <v>45249</v>
      </c>
      <c r="L138" s="14" t="s">
        <v>1135</v>
      </c>
      <c r="M138" s="14" t="s">
        <v>1538</v>
      </c>
      <c r="N138" s="14">
        <v>433.62</v>
      </c>
      <c r="O138" s="14">
        <v>4</v>
      </c>
      <c r="P138" s="14" t="s">
        <v>1550</v>
      </c>
      <c r="Q138" s="14" t="str">
        <f>_xlfn.IFS(Augmented_Data!$P138="FLAT8","8%",Augmented_Data!$P138="FLAT10","10%",Augmented_Data!$P138="FLAT15","15%",Augmented_Data!$P138="FLAT20","20%",Augmented_Data!$P138="DEL0","0 delivery charge")</f>
        <v>20%</v>
      </c>
      <c r="R138" s="14">
        <v>3</v>
      </c>
      <c r="S138" s="14" t="str">
        <f>_xlfn.IFS(Augmented_Data!U138-Augmented_Data!K138=Augmented_Data!$R138,"Intime",Augmented_Data!U138-Augmented_Data!K138&lt;Augmented_Data!R138,"Before Time",Augmented_Data!U138-Augmented_Data!K138&gt;Augmented_Data!R138,"Late")</f>
        <v>Intime</v>
      </c>
      <c r="T138" s="14">
        <v>36</v>
      </c>
      <c r="U138" s="15">
        <v>45252</v>
      </c>
      <c r="V138" s="14">
        <f>DATEDIF(Augmented_Data!$K138,Augmented_Data!$U138,"D")</f>
        <v>3</v>
      </c>
      <c r="W138" s="14" t="s">
        <v>1687</v>
      </c>
      <c r="X138" s="14">
        <f>Augmented_Data!$Z138-Augmented_Data!$AA138</f>
        <v>354.096</v>
      </c>
      <c r="Y138" s="14">
        <f>Augmented_Data!$N138*Augmented_Data!$O138</f>
        <v>1734.48</v>
      </c>
      <c r="Z138" s="14">
        <f>Augmented_Data!$Y138+Augmented_Data!$T138</f>
        <v>1770.48</v>
      </c>
      <c r="AA138" s="16">
        <f>IF(Augmented_Data!Q138="0 delivery charge",Augmented_Data!Z138-Augmented_Data!T138,Augmented_Data!Z138*(1-Augmented_Data!Q138))</f>
        <v>1416.384</v>
      </c>
    </row>
    <row r="139" spans="1:27" x14ac:dyDescent="0.3">
      <c r="A139" s="11" t="s">
        <v>91</v>
      </c>
      <c r="B139" s="11" t="str">
        <f>_xlfn.CONCAT(Augmented_Data!$C139," ",Augmented_Data!$D139)</f>
        <v>Barbara Fuller</v>
      </c>
      <c r="C139" s="11" t="s">
        <v>180</v>
      </c>
      <c r="D139" s="11" t="s">
        <v>267</v>
      </c>
      <c r="E139" s="11">
        <v>43</v>
      </c>
      <c r="F139" s="11" t="s">
        <v>290</v>
      </c>
      <c r="G139" s="11" t="s">
        <v>293</v>
      </c>
      <c r="H139" s="11" t="s">
        <v>372</v>
      </c>
      <c r="I139" s="11" t="s">
        <v>472</v>
      </c>
      <c r="J139" s="11" t="s">
        <v>636</v>
      </c>
      <c r="K139" s="12">
        <v>45331</v>
      </c>
      <c r="L139" s="11" t="s">
        <v>1136</v>
      </c>
      <c r="M139" s="11" t="s">
        <v>1524</v>
      </c>
      <c r="N139" s="11">
        <v>157.63999999999999</v>
      </c>
      <c r="O139" s="11">
        <v>5</v>
      </c>
      <c r="P139" s="11" t="s">
        <v>1547</v>
      </c>
      <c r="Q139" s="11" t="str">
        <f>_xlfn.IFS(Augmented_Data!$P139="FLAT8","8%",Augmented_Data!$P139="FLAT10","10%",Augmented_Data!$P139="FLAT15","15%",Augmented_Data!$P139="FLAT20","20%",Augmented_Data!$P139="DEL0","0 delivery charge")</f>
        <v>0 delivery charge</v>
      </c>
      <c r="R139" s="11">
        <v>7</v>
      </c>
      <c r="S139" s="11" t="str">
        <f>_xlfn.IFS(Augmented_Data!U139-Augmented_Data!K139=Augmented_Data!$R139,"Intime",Augmented_Data!U139-Augmented_Data!K139&lt;Augmented_Data!R139,"Before Time",Augmented_Data!U139-Augmented_Data!K139&gt;Augmented_Data!R139,"Late")</f>
        <v>Before Time</v>
      </c>
      <c r="T139" s="11">
        <v>36</v>
      </c>
      <c r="U139" s="12">
        <v>45332</v>
      </c>
      <c r="V139" s="11">
        <f>DATEDIF(Augmented_Data!$K139,Augmented_Data!$U139,"D")</f>
        <v>1</v>
      </c>
      <c r="W139" s="11" t="s">
        <v>1688</v>
      </c>
      <c r="X139" s="11">
        <f>Augmented_Data!$Z139-Augmented_Data!$AA139</f>
        <v>36</v>
      </c>
      <c r="Y139" s="11">
        <f>Augmented_Data!$N139*Augmented_Data!$O139</f>
        <v>788.19999999999993</v>
      </c>
      <c r="Z139" s="11">
        <f>Augmented_Data!$Y139+Augmented_Data!$T139</f>
        <v>824.19999999999993</v>
      </c>
      <c r="AA139" s="13">
        <f>IF(Augmented_Data!Q139="0 delivery charge",Augmented_Data!Z139-Augmented_Data!T139,Augmented_Data!Z139*(1-Augmented_Data!Q139))</f>
        <v>788.19999999999993</v>
      </c>
    </row>
    <row r="140" spans="1:27" x14ac:dyDescent="0.3">
      <c r="A140" s="14" t="s">
        <v>25</v>
      </c>
      <c r="B140" s="14" t="str">
        <f>_xlfn.CONCAT(Augmented_Data!$C140," ",Augmented_Data!$D140)</f>
        <v>David Delacruz</v>
      </c>
      <c r="C140" s="14" t="s">
        <v>125</v>
      </c>
      <c r="D140" s="14" t="s">
        <v>207</v>
      </c>
      <c r="E140" s="14">
        <v>26</v>
      </c>
      <c r="F140" s="14" t="s">
        <v>289</v>
      </c>
      <c r="G140" s="14" t="s">
        <v>296</v>
      </c>
      <c r="H140" s="14" t="s">
        <v>306</v>
      </c>
      <c r="I140" s="14" t="s">
        <v>406</v>
      </c>
      <c r="J140" s="14" t="s">
        <v>637</v>
      </c>
      <c r="K140" s="15">
        <v>45108</v>
      </c>
      <c r="L140" s="14" t="s">
        <v>1137</v>
      </c>
      <c r="M140" s="14" t="s">
        <v>1522</v>
      </c>
      <c r="N140" s="14">
        <v>158.53</v>
      </c>
      <c r="O140" s="14">
        <v>5</v>
      </c>
      <c r="P140" s="14" t="s">
        <v>1547</v>
      </c>
      <c r="Q140" s="14" t="str">
        <f>_xlfn.IFS(Augmented_Data!$P140="FLAT8","8%",Augmented_Data!$P140="FLAT10","10%",Augmented_Data!$P140="FLAT15","15%",Augmented_Data!$P140="FLAT20","20%",Augmented_Data!$P140="DEL0","0 delivery charge")</f>
        <v>0 delivery charge</v>
      </c>
      <c r="R140" s="14">
        <v>4</v>
      </c>
      <c r="S140" s="14" t="str">
        <f>_xlfn.IFS(Augmented_Data!U140-Augmented_Data!K140=Augmented_Data!$R140,"Intime",Augmented_Data!U140-Augmented_Data!K140&lt;Augmented_Data!R140,"Before Time",Augmented_Data!U140-Augmented_Data!K140&gt;Augmented_Data!R140,"Late")</f>
        <v>Before Time</v>
      </c>
      <c r="T140" s="14">
        <v>66</v>
      </c>
      <c r="U140" s="15">
        <v>45111</v>
      </c>
      <c r="V140" s="14">
        <f>DATEDIF(Augmented_Data!$K140,Augmented_Data!$U140,"D")</f>
        <v>3</v>
      </c>
      <c r="W140" s="14" t="s">
        <v>1689</v>
      </c>
      <c r="X140" s="14">
        <f>Augmented_Data!$Z140-Augmented_Data!$AA140</f>
        <v>66</v>
      </c>
      <c r="Y140" s="14">
        <f>Augmented_Data!$N140*Augmented_Data!$O140</f>
        <v>792.65</v>
      </c>
      <c r="Z140" s="14">
        <f>Augmented_Data!$Y140+Augmented_Data!$T140</f>
        <v>858.65</v>
      </c>
      <c r="AA140" s="16">
        <f>IF(Augmented_Data!Q140="0 delivery charge",Augmented_Data!Z140-Augmented_Data!T140,Augmented_Data!Z140*(1-Augmented_Data!Q140))</f>
        <v>792.65</v>
      </c>
    </row>
    <row r="141" spans="1:27" x14ac:dyDescent="0.3">
      <c r="A141" s="11" t="s">
        <v>35</v>
      </c>
      <c r="B141" s="11" t="str">
        <f>_xlfn.CONCAT(Augmented_Data!$C141," ",Augmented_Data!$D141)</f>
        <v>Mallory Mitchell</v>
      </c>
      <c r="C141" s="11" t="s">
        <v>135</v>
      </c>
      <c r="D141" s="11" t="s">
        <v>162</v>
      </c>
      <c r="E141" s="11">
        <v>42</v>
      </c>
      <c r="F141" s="11" t="s">
        <v>289</v>
      </c>
      <c r="G141" s="11" t="s">
        <v>297</v>
      </c>
      <c r="H141" s="11" t="s">
        <v>316</v>
      </c>
      <c r="I141" s="11" t="s">
        <v>416</v>
      </c>
      <c r="J141" s="11" t="s">
        <v>638</v>
      </c>
      <c r="K141" s="12">
        <v>45283</v>
      </c>
      <c r="L141" s="11" t="s">
        <v>1138</v>
      </c>
      <c r="M141" s="11" t="s">
        <v>1507</v>
      </c>
      <c r="N141" s="11">
        <v>257.06</v>
      </c>
      <c r="O141" s="11">
        <v>3</v>
      </c>
      <c r="P141" s="11" t="s">
        <v>2047</v>
      </c>
      <c r="Q141" s="11" t="str">
        <f>_xlfn.IFS(Augmented_Data!$P141="FLAT8","8%",Augmented_Data!$P141="FLAT10","10%",Augmented_Data!$P141="FLAT15","15%",Augmented_Data!$P141="FLAT20","20%",Augmented_Data!$P141="DEL0","0 delivery charge")</f>
        <v>8%</v>
      </c>
      <c r="R141" s="11">
        <v>6</v>
      </c>
      <c r="S141" s="11" t="str">
        <f>_xlfn.IFS(Augmented_Data!U141-Augmented_Data!K141=Augmented_Data!$R141,"Intime",Augmented_Data!U141-Augmented_Data!K141&lt;Augmented_Data!R141,"Before Time",Augmented_Data!U141-Augmented_Data!K141&gt;Augmented_Data!R141,"Late")</f>
        <v>Intime</v>
      </c>
      <c r="T141" s="11">
        <v>65</v>
      </c>
      <c r="U141" s="12">
        <v>45289</v>
      </c>
      <c r="V141" s="11">
        <f>DATEDIF(Augmented_Data!$K141,Augmented_Data!$U141,"D")</f>
        <v>6</v>
      </c>
      <c r="W141" s="11" t="s">
        <v>1690</v>
      </c>
      <c r="X141" s="11">
        <f>Augmented_Data!$Z141-Augmented_Data!$AA141</f>
        <v>66.894400000000019</v>
      </c>
      <c r="Y141" s="11">
        <f>Augmented_Data!$N141*Augmented_Data!$O141</f>
        <v>771.18000000000006</v>
      </c>
      <c r="Z141" s="11">
        <f>Augmented_Data!$Y141+Augmented_Data!$T141</f>
        <v>836.18000000000006</v>
      </c>
      <c r="AA141" s="13">
        <f>IF(Augmented_Data!Q141="0 delivery charge",Augmented_Data!Z141-Augmented_Data!T141,Augmented_Data!Z141*(1-Augmented_Data!Q141))</f>
        <v>769.28560000000004</v>
      </c>
    </row>
    <row r="142" spans="1:27" x14ac:dyDescent="0.3">
      <c r="A142" s="14" t="s">
        <v>75</v>
      </c>
      <c r="B142" s="14" t="str">
        <f>_xlfn.CONCAT(Augmented_Data!$C142," ",Augmented_Data!$D142)</f>
        <v>Lindsey Byrd</v>
      </c>
      <c r="C142" s="14" t="s">
        <v>168</v>
      </c>
      <c r="D142" s="14" t="s">
        <v>253</v>
      </c>
      <c r="E142" s="14">
        <v>32</v>
      </c>
      <c r="F142" s="14" t="s">
        <v>288</v>
      </c>
      <c r="G142" s="14" t="s">
        <v>293</v>
      </c>
      <c r="H142" s="14" t="s">
        <v>356</v>
      </c>
      <c r="I142" s="14" t="s">
        <v>456</v>
      </c>
      <c r="J142" s="14" t="s">
        <v>573</v>
      </c>
      <c r="K142" s="15">
        <v>45537</v>
      </c>
      <c r="L142" s="14" t="s">
        <v>1073</v>
      </c>
      <c r="M142" s="14" t="s">
        <v>1521</v>
      </c>
      <c r="N142" s="14">
        <v>110.95</v>
      </c>
      <c r="O142" s="14">
        <v>4</v>
      </c>
      <c r="P142" s="14" t="s">
        <v>1548</v>
      </c>
      <c r="Q142" s="14" t="str">
        <f>_xlfn.IFS(Augmented_Data!$P142="FLAT8","8%",Augmented_Data!$P142="FLAT10","10%",Augmented_Data!$P142="FLAT15","15%",Augmented_Data!$P142="FLAT20","20%",Augmented_Data!$P142="DEL0","0 delivery charge")</f>
        <v>15%</v>
      </c>
      <c r="R142" s="14">
        <v>1</v>
      </c>
      <c r="S142" s="14" t="str">
        <f>_xlfn.IFS(Augmented_Data!U142-Augmented_Data!K142=Augmented_Data!$R142,"Intime",Augmented_Data!U142-Augmented_Data!K142&lt;Augmented_Data!R142,"Before Time",Augmented_Data!U142-Augmented_Data!K142&gt;Augmented_Data!R142,"Late")</f>
        <v>Late</v>
      </c>
      <c r="T142" s="14">
        <v>60</v>
      </c>
      <c r="U142" s="15">
        <v>45541</v>
      </c>
      <c r="V142" s="14">
        <f>DATEDIF(Augmented_Data!$K142,Augmented_Data!$U142,"D")</f>
        <v>4</v>
      </c>
      <c r="W142" s="14" t="s">
        <v>1625</v>
      </c>
      <c r="X142" s="14">
        <f>Augmented_Data!$Z142-Augmented_Data!$AA142</f>
        <v>75.569999999999993</v>
      </c>
      <c r="Y142" s="14">
        <f>Augmented_Data!$N142*Augmented_Data!$O142</f>
        <v>443.8</v>
      </c>
      <c r="Z142" s="14">
        <f>Augmented_Data!$Y142+Augmented_Data!$T142</f>
        <v>503.8</v>
      </c>
      <c r="AA142" s="16">
        <f>IF(Augmented_Data!Q142="0 delivery charge",Augmented_Data!Z142-Augmented_Data!T142,Augmented_Data!Z142*(1-Augmented_Data!Q142))</f>
        <v>428.23</v>
      </c>
    </row>
    <row r="143" spans="1:27" x14ac:dyDescent="0.3">
      <c r="A143" s="11" t="s">
        <v>74</v>
      </c>
      <c r="B143" s="11" t="str">
        <f>_xlfn.CONCAT(Augmented_Data!$C143," ",Augmented_Data!$D143)</f>
        <v>Jodi Whitney</v>
      </c>
      <c r="C143" s="11" t="s">
        <v>167</v>
      </c>
      <c r="D143" s="11" t="s">
        <v>252</v>
      </c>
      <c r="E143" s="11">
        <v>33</v>
      </c>
      <c r="F143" s="11" t="s">
        <v>290</v>
      </c>
      <c r="G143" s="11" t="s">
        <v>297</v>
      </c>
      <c r="H143" s="11" t="s">
        <v>355</v>
      </c>
      <c r="I143" s="11" t="s">
        <v>455</v>
      </c>
      <c r="J143" s="11" t="s">
        <v>640</v>
      </c>
      <c r="K143" s="12">
        <v>45609</v>
      </c>
      <c r="L143" s="11" t="s">
        <v>1140</v>
      </c>
      <c r="M143" s="11" t="s">
        <v>1525</v>
      </c>
      <c r="N143" s="11">
        <v>481.48</v>
      </c>
      <c r="O143" s="11">
        <v>5</v>
      </c>
      <c r="P143" s="11" t="s">
        <v>2047</v>
      </c>
      <c r="Q143" s="11" t="str">
        <f>_xlfn.IFS(Augmented_Data!$P143="FLAT8","8%",Augmented_Data!$P143="FLAT10","10%",Augmented_Data!$P143="FLAT15","15%",Augmented_Data!$P143="FLAT20","20%",Augmented_Data!$P143="DEL0","0 delivery charge")</f>
        <v>8%</v>
      </c>
      <c r="R143" s="11">
        <v>6</v>
      </c>
      <c r="S143" s="11" t="str">
        <f>_xlfn.IFS(Augmented_Data!U143-Augmented_Data!K143=Augmented_Data!$R143,"Intime",Augmented_Data!U143-Augmented_Data!K143&lt;Augmented_Data!R143,"Before Time",Augmented_Data!U143-Augmented_Data!K143&gt;Augmented_Data!R143,"Late")</f>
        <v>Before Time</v>
      </c>
      <c r="T143" s="11">
        <v>44</v>
      </c>
      <c r="U143" s="12">
        <v>45612</v>
      </c>
      <c r="V143" s="11">
        <f>DATEDIF(Augmented_Data!$K143,Augmented_Data!$U143,"D")</f>
        <v>3</v>
      </c>
      <c r="W143" s="11" t="s">
        <v>1692</v>
      </c>
      <c r="X143" s="11">
        <f>Augmented_Data!$Z143-Augmented_Data!$AA143</f>
        <v>196.11200000000008</v>
      </c>
      <c r="Y143" s="11">
        <f>Augmented_Data!$N143*Augmented_Data!$O143</f>
        <v>2407.4</v>
      </c>
      <c r="Z143" s="11">
        <f>Augmented_Data!$Y143+Augmented_Data!$T143</f>
        <v>2451.4</v>
      </c>
      <c r="AA143" s="13">
        <f>IF(Augmented_Data!Q143="0 delivery charge",Augmented_Data!Z143-Augmented_Data!T143,Augmented_Data!Z143*(1-Augmented_Data!Q143))</f>
        <v>2255.288</v>
      </c>
    </row>
    <row r="144" spans="1:27" x14ac:dyDescent="0.3">
      <c r="A144" s="14" t="s">
        <v>70</v>
      </c>
      <c r="B144" s="14" t="str">
        <f>_xlfn.CONCAT(Augmented_Data!$C144," ",Augmented_Data!$D144)</f>
        <v>Sarah Butler</v>
      </c>
      <c r="C144" s="14" t="s">
        <v>164</v>
      </c>
      <c r="D144" s="14" t="s">
        <v>248</v>
      </c>
      <c r="E144" s="14">
        <v>64</v>
      </c>
      <c r="F144" s="14" t="s">
        <v>288</v>
      </c>
      <c r="G144" s="14" t="s">
        <v>291</v>
      </c>
      <c r="H144" s="14" t="s">
        <v>351</v>
      </c>
      <c r="I144" s="14" t="s">
        <v>451</v>
      </c>
      <c r="J144" s="14" t="s">
        <v>641</v>
      </c>
      <c r="K144" s="15">
        <v>45576</v>
      </c>
      <c r="L144" s="14" t="s">
        <v>1141</v>
      </c>
      <c r="M144" s="14" t="s">
        <v>1545</v>
      </c>
      <c r="N144" s="14">
        <v>292.14999999999998</v>
      </c>
      <c r="O144" s="14">
        <v>4</v>
      </c>
      <c r="P144" s="14" t="s">
        <v>1550</v>
      </c>
      <c r="Q144" s="14" t="str">
        <f>_xlfn.IFS(Augmented_Data!$P144="FLAT8","8%",Augmented_Data!$P144="FLAT10","10%",Augmented_Data!$P144="FLAT15","15%",Augmented_Data!$P144="FLAT20","20%",Augmented_Data!$P144="DEL0","0 delivery charge")</f>
        <v>20%</v>
      </c>
      <c r="R144" s="14">
        <v>1</v>
      </c>
      <c r="S144" s="14" t="str">
        <f>_xlfn.IFS(Augmented_Data!U144-Augmented_Data!K144=Augmented_Data!$R144,"Intime",Augmented_Data!U144-Augmented_Data!K144&lt;Augmented_Data!R144,"Before Time",Augmented_Data!U144-Augmented_Data!K144&gt;Augmented_Data!R144,"Late")</f>
        <v>Intime</v>
      </c>
      <c r="T144" s="14">
        <v>58</v>
      </c>
      <c r="U144" s="15">
        <v>45577</v>
      </c>
      <c r="V144" s="14">
        <f>DATEDIF(Augmented_Data!$K144,Augmented_Data!$U144,"D")</f>
        <v>1</v>
      </c>
      <c r="W144" s="14" t="s">
        <v>1693</v>
      </c>
      <c r="X144" s="14">
        <f>Augmented_Data!$Z144-Augmented_Data!$AA144</f>
        <v>245.31999999999994</v>
      </c>
      <c r="Y144" s="14">
        <f>Augmented_Data!$N144*Augmented_Data!$O144</f>
        <v>1168.5999999999999</v>
      </c>
      <c r="Z144" s="14">
        <f>Augmented_Data!$Y144+Augmented_Data!$T144</f>
        <v>1226.5999999999999</v>
      </c>
      <c r="AA144" s="16">
        <f>IF(Augmented_Data!Q144="0 delivery charge",Augmented_Data!Z144-Augmented_Data!T144,Augmented_Data!Z144*(1-Augmented_Data!Q144))</f>
        <v>981.28</v>
      </c>
    </row>
    <row r="145" spans="1:27" x14ac:dyDescent="0.3">
      <c r="A145" s="11" t="s">
        <v>54</v>
      </c>
      <c r="B145" s="11" t="str">
        <f>_xlfn.CONCAT(Augmented_Data!$C145," ",Augmented_Data!$D145)</f>
        <v>Robert Castillo</v>
      </c>
      <c r="C145" s="11" t="s">
        <v>152</v>
      </c>
      <c r="D145" s="11" t="s">
        <v>235</v>
      </c>
      <c r="E145" s="11">
        <v>32</v>
      </c>
      <c r="F145" s="11" t="s">
        <v>289</v>
      </c>
      <c r="G145" s="11" t="s">
        <v>297</v>
      </c>
      <c r="H145" s="11" t="s">
        <v>335</v>
      </c>
      <c r="I145" s="11" t="s">
        <v>435</v>
      </c>
      <c r="J145" s="11" t="s">
        <v>642</v>
      </c>
      <c r="K145" s="12">
        <v>45199</v>
      </c>
      <c r="L145" s="11" t="s">
        <v>1142</v>
      </c>
      <c r="M145" s="11" t="s">
        <v>1542</v>
      </c>
      <c r="N145" s="11">
        <v>20</v>
      </c>
      <c r="O145" s="11">
        <v>5</v>
      </c>
      <c r="P145" s="11" t="s">
        <v>1548</v>
      </c>
      <c r="Q145" s="11" t="str">
        <f>_xlfn.IFS(Augmented_Data!$P145="FLAT8","8%",Augmented_Data!$P145="FLAT10","10%",Augmented_Data!$P145="FLAT15","15%",Augmented_Data!$P145="FLAT20","20%",Augmented_Data!$P145="DEL0","0 delivery charge")</f>
        <v>15%</v>
      </c>
      <c r="R145" s="11">
        <v>7</v>
      </c>
      <c r="S145" s="11" t="str">
        <f>_xlfn.IFS(Augmented_Data!U145-Augmented_Data!K145=Augmented_Data!$R145,"Intime",Augmented_Data!U145-Augmented_Data!K145&lt;Augmented_Data!R145,"Before Time",Augmented_Data!U145-Augmented_Data!K145&gt;Augmented_Data!R145,"Late")</f>
        <v>Before Time</v>
      </c>
      <c r="T145" s="11">
        <v>40</v>
      </c>
      <c r="U145" s="12">
        <v>45203</v>
      </c>
      <c r="V145" s="11">
        <f>DATEDIF(Augmented_Data!$K145,Augmented_Data!$U145,"D")</f>
        <v>4</v>
      </c>
      <c r="W145" s="11" t="s">
        <v>1694</v>
      </c>
      <c r="X145" s="11">
        <f>Augmented_Data!$Z145-Augmented_Data!$AA145</f>
        <v>21</v>
      </c>
      <c r="Y145" s="11">
        <f>Augmented_Data!$N145*Augmented_Data!$O145</f>
        <v>100</v>
      </c>
      <c r="Z145" s="11">
        <f>Augmented_Data!$Y145+Augmented_Data!$T145</f>
        <v>140</v>
      </c>
      <c r="AA145" s="13">
        <f>IF(Augmented_Data!Q145="0 delivery charge",Augmented_Data!Z145-Augmented_Data!T145,Augmented_Data!Z145*(1-Augmented_Data!Q145))</f>
        <v>119</v>
      </c>
    </row>
    <row r="146" spans="1:27" x14ac:dyDescent="0.3">
      <c r="A146" s="14" t="s">
        <v>54</v>
      </c>
      <c r="B146" s="14" t="str">
        <f>_xlfn.CONCAT(Augmented_Data!$C146," ",Augmented_Data!$D146)</f>
        <v>Robert Castillo</v>
      </c>
      <c r="C146" s="14" t="s">
        <v>152</v>
      </c>
      <c r="D146" s="14" t="s">
        <v>235</v>
      </c>
      <c r="E146" s="14">
        <v>32</v>
      </c>
      <c r="F146" s="14" t="s">
        <v>289</v>
      </c>
      <c r="G146" s="14" t="s">
        <v>297</v>
      </c>
      <c r="H146" s="14" t="s">
        <v>335</v>
      </c>
      <c r="I146" s="14" t="s">
        <v>435</v>
      </c>
      <c r="J146" s="14" t="s">
        <v>643</v>
      </c>
      <c r="K146" s="15">
        <v>45677</v>
      </c>
      <c r="L146" s="14" t="s">
        <v>1143</v>
      </c>
      <c r="M146" s="14" t="s">
        <v>1526</v>
      </c>
      <c r="N146" s="14">
        <v>405</v>
      </c>
      <c r="O146" s="14">
        <v>2</v>
      </c>
      <c r="P146" s="14" t="s">
        <v>1548</v>
      </c>
      <c r="Q146" s="14" t="str">
        <f>_xlfn.IFS(Augmented_Data!$P146="FLAT8","8%",Augmented_Data!$P146="FLAT10","10%",Augmented_Data!$P146="FLAT15","15%",Augmented_Data!$P146="FLAT20","20%",Augmented_Data!$P146="DEL0","0 delivery charge")</f>
        <v>15%</v>
      </c>
      <c r="R146" s="14">
        <v>7</v>
      </c>
      <c r="S146" s="14" t="str">
        <f>_xlfn.IFS(Augmented_Data!U146-Augmented_Data!K146=Augmented_Data!$R146,"Intime",Augmented_Data!U146-Augmented_Data!K146&lt;Augmented_Data!R146,"Before Time",Augmented_Data!U146-Augmented_Data!K146&gt;Augmented_Data!R146,"Late")</f>
        <v>Before Time</v>
      </c>
      <c r="T146" s="14">
        <v>55</v>
      </c>
      <c r="U146" s="15">
        <v>45680</v>
      </c>
      <c r="V146" s="14">
        <f>DATEDIF(Augmented_Data!$K146,Augmented_Data!$U146,"D")</f>
        <v>3</v>
      </c>
      <c r="W146" s="14" t="s">
        <v>1695</v>
      </c>
      <c r="X146" s="14">
        <f>Augmented_Data!$Z146-Augmented_Data!$AA146</f>
        <v>129.75</v>
      </c>
      <c r="Y146" s="14">
        <f>Augmented_Data!$N146*Augmented_Data!$O146</f>
        <v>810</v>
      </c>
      <c r="Z146" s="14">
        <f>Augmented_Data!$Y146+Augmented_Data!$T146</f>
        <v>865</v>
      </c>
      <c r="AA146" s="16">
        <f>IF(Augmented_Data!Q146="0 delivery charge",Augmented_Data!Z146-Augmented_Data!T146,Augmented_Data!Z146*(1-Augmented_Data!Q146))</f>
        <v>735.25</v>
      </c>
    </row>
    <row r="147" spans="1:27" x14ac:dyDescent="0.3">
      <c r="A147" s="11" t="s">
        <v>76</v>
      </c>
      <c r="B147" s="11" t="str">
        <f>_xlfn.CONCAT(Augmented_Data!$C147," ",Augmented_Data!$D147)</f>
        <v>Ashley Romero</v>
      </c>
      <c r="C147" s="11" t="s">
        <v>142</v>
      </c>
      <c r="D147" s="11" t="s">
        <v>254</v>
      </c>
      <c r="E147" s="11">
        <v>35</v>
      </c>
      <c r="F147" s="11" t="s">
        <v>288</v>
      </c>
      <c r="G147" s="11" t="s">
        <v>291</v>
      </c>
      <c r="H147" s="11" t="s">
        <v>357</v>
      </c>
      <c r="I147" s="11" t="s">
        <v>457</v>
      </c>
      <c r="J147" s="11" t="s">
        <v>644</v>
      </c>
      <c r="K147" s="12">
        <v>45581</v>
      </c>
      <c r="L147" s="11" t="s">
        <v>1144</v>
      </c>
      <c r="M147" s="11" t="s">
        <v>1505</v>
      </c>
      <c r="N147" s="11">
        <v>48.45</v>
      </c>
      <c r="O147" s="11">
        <v>5</v>
      </c>
      <c r="P147" s="11" t="s">
        <v>1549</v>
      </c>
      <c r="Q147" s="11" t="str">
        <f>_xlfn.IFS(Augmented_Data!$P147="FLAT8","8%",Augmented_Data!$P147="FLAT10","10%",Augmented_Data!$P147="FLAT15","15%",Augmented_Data!$P147="FLAT20","20%",Augmented_Data!$P147="DEL0","0 delivery charge")</f>
        <v>10%</v>
      </c>
      <c r="R147" s="11">
        <v>7</v>
      </c>
      <c r="S147" s="11" t="str">
        <f>_xlfn.IFS(Augmented_Data!U147-Augmented_Data!K147=Augmented_Data!$R147,"Intime",Augmented_Data!U147-Augmented_Data!K147&lt;Augmented_Data!R147,"Before Time",Augmented_Data!U147-Augmented_Data!K147&gt;Augmented_Data!R147,"Late")</f>
        <v>Intime</v>
      </c>
      <c r="T147" s="11">
        <v>53</v>
      </c>
      <c r="U147" s="12">
        <v>45588</v>
      </c>
      <c r="V147" s="11">
        <f>DATEDIF(Augmented_Data!$K147,Augmented_Data!$U147,"D")</f>
        <v>7</v>
      </c>
      <c r="W147" s="11" t="s">
        <v>1696</v>
      </c>
      <c r="X147" s="11">
        <f>Augmented_Data!$Z147-Augmented_Data!$AA147</f>
        <v>29.524999999999977</v>
      </c>
      <c r="Y147" s="11">
        <f>Augmented_Data!$N147*Augmented_Data!$O147</f>
        <v>242.25</v>
      </c>
      <c r="Z147" s="11">
        <f>Augmented_Data!$Y147+Augmented_Data!$T147</f>
        <v>295.25</v>
      </c>
      <c r="AA147" s="13">
        <f>IF(Augmented_Data!Q147="0 delivery charge",Augmented_Data!Z147-Augmented_Data!T147,Augmented_Data!Z147*(1-Augmented_Data!Q147))</f>
        <v>265.72500000000002</v>
      </c>
    </row>
    <row r="148" spans="1:27" x14ac:dyDescent="0.3">
      <c r="A148" s="14" t="s">
        <v>68</v>
      </c>
      <c r="B148" s="14" t="str">
        <f>_xlfn.CONCAT(Augmented_Data!$C148," ",Augmented_Data!$D148)</f>
        <v>Mitchell Parker</v>
      </c>
      <c r="C148" s="14" t="s">
        <v>162</v>
      </c>
      <c r="D148" s="14" t="s">
        <v>232</v>
      </c>
      <c r="E148" s="14">
        <v>39</v>
      </c>
      <c r="F148" s="14" t="s">
        <v>290</v>
      </c>
      <c r="G148" s="14" t="s">
        <v>292</v>
      </c>
      <c r="H148" s="14" t="s">
        <v>349</v>
      </c>
      <c r="I148" s="14" t="s">
        <v>449</v>
      </c>
      <c r="J148" s="14" t="s">
        <v>645</v>
      </c>
      <c r="K148" s="15">
        <v>45609</v>
      </c>
      <c r="L148" s="14" t="s">
        <v>1145</v>
      </c>
      <c r="M148" s="14" t="s">
        <v>1502</v>
      </c>
      <c r="N148" s="14">
        <v>202.54</v>
      </c>
      <c r="O148" s="14">
        <v>1</v>
      </c>
      <c r="P148" s="14" t="s">
        <v>2047</v>
      </c>
      <c r="Q148" s="14" t="str">
        <f>_xlfn.IFS(Augmented_Data!$P148="FLAT8","8%",Augmented_Data!$P148="FLAT10","10%",Augmented_Data!$P148="FLAT15","15%",Augmented_Data!$P148="FLAT20","20%",Augmented_Data!$P148="DEL0","0 delivery charge")</f>
        <v>8%</v>
      </c>
      <c r="R148" s="14">
        <v>4</v>
      </c>
      <c r="S148" s="14" t="str">
        <f>_xlfn.IFS(Augmented_Data!U148-Augmented_Data!K148=Augmented_Data!$R148,"Intime",Augmented_Data!U148-Augmented_Data!K148&lt;Augmented_Data!R148,"Before Time",Augmented_Data!U148-Augmented_Data!K148&gt;Augmented_Data!R148,"Late")</f>
        <v>Before Time</v>
      </c>
      <c r="T148" s="14">
        <v>48</v>
      </c>
      <c r="U148" s="15">
        <v>45611</v>
      </c>
      <c r="V148" s="14">
        <f>DATEDIF(Augmented_Data!$K148,Augmented_Data!$U148,"D")</f>
        <v>2</v>
      </c>
      <c r="W148" s="14" t="s">
        <v>1697</v>
      </c>
      <c r="X148" s="14">
        <f>Augmented_Data!$Z148-Augmented_Data!$AA148</f>
        <v>20.043199999999985</v>
      </c>
      <c r="Y148" s="14">
        <f>Augmented_Data!$N148*Augmented_Data!$O148</f>
        <v>202.54</v>
      </c>
      <c r="Z148" s="14">
        <f>Augmented_Data!$Y148+Augmented_Data!$T148</f>
        <v>250.54</v>
      </c>
      <c r="AA148" s="16">
        <f>IF(Augmented_Data!Q148="0 delivery charge",Augmented_Data!Z148-Augmented_Data!T148,Augmented_Data!Z148*(1-Augmented_Data!Q148))</f>
        <v>230.49680000000001</v>
      </c>
    </row>
    <row r="149" spans="1:27" x14ac:dyDescent="0.3">
      <c r="A149" s="11" t="s">
        <v>92</v>
      </c>
      <c r="B149" s="11" t="str">
        <f>_xlfn.CONCAT(Augmented_Data!$C149," ",Augmented_Data!$D149)</f>
        <v>Kristina Haynes</v>
      </c>
      <c r="C149" s="11" t="s">
        <v>181</v>
      </c>
      <c r="D149" s="11" t="s">
        <v>268</v>
      </c>
      <c r="E149" s="11">
        <v>27</v>
      </c>
      <c r="F149" s="11" t="s">
        <v>288</v>
      </c>
      <c r="G149" s="11" t="s">
        <v>292</v>
      </c>
      <c r="H149" s="11" t="s">
        <v>373</v>
      </c>
      <c r="I149" s="11" t="s">
        <v>473</v>
      </c>
      <c r="J149" s="11" t="s">
        <v>646</v>
      </c>
      <c r="K149" s="12">
        <v>44983</v>
      </c>
      <c r="L149" s="11" t="s">
        <v>1146</v>
      </c>
      <c r="M149" s="11" t="s">
        <v>1531</v>
      </c>
      <c r="N149" s="11">
        <v>286.07</v>
      </c>
      <c r="O149" s="11">
        <v>5</v>
      </c>
      <c r="P149" s="11" t="s">
        <v>1550</v>
      </c>
      <c r="Q149" s="11" t="str">
        <f>_xlfn.IFS(Augmented_Data!$P149="FLAT8","8%",Augmented_Data!$P149="FLAT10","10%",Augmented_Data!$P149="FLAT15","15%",Augmented_Data!$P149="FLAT20","20%",Augmented_Data!$P149="DEL0","0 delivery charge")</f>
        <v>20%</v>
      </c>
      <c r="R149" s="11">
        <v>1</v>
      </c>
      <c r="S149" s="11" t="str">
        <f>_xlfn.IFS(Augmented_Data!U149-Augmented_Data!K149=Augmented_Data!$R149,"Intime",Augmented_Data!U149-Augmented_Data!K149&lt;Augmented_Data!R149,"Before Time",Augmented_Data!U149-Augmented_Data!K149&gt;Augmented_Data!R149,"Late")</f>
        <v>Late</v>
      </c>
      <c r="T149" s="11">
        <v>52</v>
      </c>
      <c r="U149" s="12">
        <v>44986</v>
      </c>
      <c r="V149" s="11">
        <f>DATEDIF(Augmented_Data!$K149,Augmented_Data!$U149,"D")</f>
        <v>3</v>
      </c>
      <c r="W149" s="11" t="s">
        <v>1698</v>
      </c>
      <c r="X149" s="11">
        <f>Augmented_Data!$Z149-Augmented_Data!$AA149</f>
        <v>296.47000000000003</v>
      </c>
      <c r="Y149" s="11">
        <f>Augmented_Data!$N149*Augmented_Data!$O149</f>
        <v>1430.35</v>
      </c>
      <c r="Z149" s="11">
        <f>Augmented_Data!$Y149+Augmented_Data!$T149</f>
        <v>1482.35</v>
      </c>
      <c r="AA149" s="13">
        <f>IF(Augmented_Data!Q149="0 delivery charge",Augmented_Data!Z149-Augmented_Data!T149,Augmented_Data!Z149*(1-Augmented_Data!Q149))</f>
        <v>1185.8799999999999</v>
      </c>
    </row>
    <row r="150" spans="1:27" x14ac:dyDescent="0.3">
      <c r="A150" s="14" t="s">
        <v>65</v>
      </c>
      <c r="B150" s="14" t="str">
        <f>_xlfn.CONCAT(Augmented_Data!$C150," ",Augmented_Data!$D150)</f>
        <v>Lori Cook</v>
      </c>
      <c r="C150" s="14" t="s">
        <v>160</v>
      </c>
      <c r="D150" s="14" t="s">
        <v>246</v>
      </c>
      <c r="E150" s="14">
        <v>18</v>
      </c>
      <c r="F150" s="14" t="s">
        <v>289</v>
      </c>
      <c r="G150" s="14" t="s">
        <v>292</v>
      </c>
      <c r="H150" s="14" t="s">
        <v>346</v>
      </c>
      <c r="I150" s="14" t="s">
        <v>446</v>
      </c>
      <c r="J150" s="14" t="s">
        <v>647</v>
      </c>
      <c r="K150" s="15">
        <v>45378</v>
      </c>
      <c r="L150" s="14" t="s">
        <v>1147</v>
      </c>
      <c r="M150" s="14" t="s">
        <v>1502</v>
      </c>
      <c r="N150" s="14">
        <v>202.54</v>
      </c>
      <c r="O150" s="14">
        <v>4</v>
      </c>
      <c r="P150" s="14" t="s">
        <v>1549</v>
      </c>
      <c r="Q150" s="14" t="str">
        <f>_xlfn.IFS(Augmented_Data!$P150="FLAT8","8%",Augmented_Data!$P150="FLAT10","10%",Augmented_Data!$P150="FLAT15","15%",Augmented_Data!$P150="FLAT20","20%",Augmented_Data!$P150="DEL0","0 delivery charge")</f>
        <v>10%</v>
      </c>
      <c r="R150" s="14">
        <v>1</v>
      </c>
      <c r="S150" s="14" t="str">
        <f>_xlfn.IFS(Augmented_Data!U150-Augmented_Data!K150=Augmented_Data!$R150,"Intime",Augmented_Data!U150-Augmented_Data!K150&lt;Augmented_Data!R150,"Before Time",Augmented_Data!U150-Augmented_Data!K150&gt;Augmented_Data!R150,"Late")</f>
        <v>Late</v>
      </c>
      <c r="T150" s="14">
        <v>36</v>
      </c>
      <c r="U150" s="15">
        <v>45380</v>
      </c>
      <c r="V150" s="14">
        <f>DATEDIF(Augmented_Data!$K150,Augmented_Data!$U150,"D")</f>
        <v>2</v>
      </c>
      <c r="W150" s="14" t="s">
        <v>1699</v>
      </c>
      <c r="X150" s="14">
        <f>Augmented_Data!$Z150-Augmented_Data!$AA150</f>
        <v>84.615999999999985</v>
      </c>
      <c r="Y150" s="14">
        <f>Augmented_Data!$N150*Augmented_Data!$O150</f>
        <v>810.16</v>
      </c>
      <c r="Z150" s="14">
        <f>Augmented_Data!$Y150+Augmented_Data!$T150</f>
        <v>846.16</v>
      </c>
      <c r="AA150" s="16">
        <f>IF(Augmented_Data!Q150="0 delivery charge",Augmented_Data!Z150-Augmented_Data!T150,Augmented_Data!Z150*(1-Augmented_Data!Q150))</f>
        <v>761.54399999999998</v>
      </c>
    </row>
    <row r="151" spans="1:27" x14ac:dyDescent="0.3">
      <c r="A151" s="11" t="s">
        <v>100</v>
      </c>
      <c r="B151" s="11" t="str">
        <f>_xlfn.CONCAT(Augmented_Data!$C151," ",Augmented_Data!$D151)</f>
        <v>Teresa Harvey</v>
      </c>
      <c r="C151" s="11" t="s">
        <v>188</v>
      </c>
      <c r="D151" s="11" t="s">
        <v>274</v>
      </c>
      <c r="E151" s="11">
        <v>64</v>
      </c>
      <c r="F151" s="11" t="s">
        <v>290</v>
      </c>
      <c r="G151" s="11" t="s">
        <v>291</v>
      </c>
      <c r="H151" s="11" t="s">
        <v>381</v>
      </c>
      <c r="I151" s="11" t="s">
        <v>481</v>
      </c>
      <c r="J151" s="11" t="s">
        <v>899</v>
      </c>
      <c r="K151" s="12">
        <v>44989</v>
      </c>
      <c r="L151" s="11" t="s">
        <v>1399</v>
      </c>
      <c r="M151" s="11" t="s">
        <v>1500</v>
      </c>
      <c r="N151" s="11">
        <v>44.5</v>
      </c>
      <c r="O151" s="11">
        <v>3</v>
      </c>
      <c r="P151" s="11" t="s">
        <v>2047</v>
      </c>
      <c r="Q151" s="11" t="str">
        <f>_xlfn.IFS(Augmented_Data!$P151="FLAT8","8%",Augmented_Data!$P151="FLAT10","10%",Augmented_Data!$P151="FLAT15","15%",Augmented_Data!$P151="FLAT20","20%",Augmented_Data!$P151="DEL0","0 delivery charge")</f>
        <v>8%</v>
      </c>
      <c r="R151" s="11">
        <v>6</v>
      </c>
      <c r="S151" s="11" t="str">
        <f>_xlfn.IFS(Augmented_Data!U151-Augmented_Data!K151=Augmented_Data!$R151,"Intime",Augmented_Data!U151-Augmented_Data!K151&lt;Augmented_Data!R151,"Before Time",Augmented_Data!U151-Augmented_Data!K151&gt;Augmented_Data!R151,"Late")</f>
        <v>Before Time</v>
      </c>
      <c r="T151" s="11">
        <v>46</v>
      </c>
      <c r="U151" s="12">
        <v>44991</v>
      </c>
      <c r="V151" s="11">
        <f>DATEDIF(Augmented_Data!$K151,Augmented_Data!$U151,"D")</f>
        <v>2</v>
      </c>
      <c r="W151" s="11" t="s">
        <v>1948</v>
      </c>
      <c r="X151" s="11">
        <f>Augmented_Data!$Z151-Augmented_Data!$AA151</f>
        <v>14.359999999999985</v>
      </c>
      <c r="Y151" s="11">
        <f>Augmented_Data!$N151*Augmented_Data!$O151</f>
        <v>133.5</v>
      </c>
      <c r="Z151" s="11">
        <f>Augmented_Data!$Y151+Augmented_Data!$T151</f>
        <v>179.5</v>
      </c>
      <c r="AA151" s="13">
        <f>IF(Augmented_Data!Q151="0 delivery charge",Augmented_Data!Z151-Augmented_Data!T151,Augmented_Data!Z151*(1-Augmented_Data!Q151))</f>
        <v>165.14000000000001</v>
      </c>
    </row>
    <row r="152" spans="1:27" x14ac:dyDescent="0.3">
      <c r="A152" s="14" t="s">
        <v>99</v>
      </c>
      <c r="B152" s="14" t="str">
        <f>_xlfn.CONCAT(Augmented_Data!$C152," ",Augmented_Data!$D152)</f>
        <v>Amy Griffin</v>
      </c>
      <c r="C152" s="14" t="s">
        <v>131</v>
      </c>
      <c r="D152" s="14" t="s">
        <v>273</v>
      </c>
      <c r="E152" s="14">
        <v>29</v>
      </c>
      <c r="F152" s="14" t="s">
        <v>288</v>
      </c>
      <c r="G152" s="14" t="s">
        <v>292</v>
      </c>
      <c r="H152" s="14" t="s">
        <v>380</v>
      </c>
      <c r="I152" s="14" t="s">
        <v>480</v>
      </c>
      <c r="J152" s="14" t="s">
        <v>649</v>
      </c>
      <c r="K152" s="15">
        <v>45251</v>
      </c>
      <c r="L152" s="14" t="s">
        <v>1149</v>
      </c>
      <c r="M152" s="14" t="s">
        <v>1525</v>
      </c>
      <c r="N152" s="14">
        <v>481.48</v>
      </c>
      <c r="O152" s="14">
        <v>4</v>
      </c>
      <c r="P152" s="14" t="s">
        <v>1547</v>
      </c>
      <c r="Q152" s="14" t="str">
        <f>_xlfn.IFS(Augmented_Data!$P152="FLAT8","8%",Augmented_Data!$P152="FLAT10","10%",Augmented_Data!$P152="FLAT15","15%",Augmented_Data!$P152="FLAT20","20%",Augmented_Data!$P152="DEL0","0 delivery charge")</f>
        <v>0 delivery charge</v>
      </c>
      <c r="R152" s="14">
        <v>3</v>
      </c>
      <c r="S152" s="14" t="str">
        <f>_xlfn.IFS(Augmented_Data!U152-Augmented_Data!K152=Augmented_Data!$R152,"Intime",Augmented_Data!U152-Augmented_Data!K152&lt;Augmented_Data!R152,"Before Time",Augmented_Data!U152-Augmented_Data!K152&gt;Augmented_Data!R152,"Late")</f>
        <v>Late</v>
      </c>
      <c r="T152" s="14">
        <v>54</v>
      </c>
      <c r="U152" s="15">
        <v>45256</v>
      </c>
      <c r="V152" s="14">
        <f>DATEDIF(Augmented_Data!$K152,Augmented_Data!$U152,"D")</f>
        <v>5</v>
      </c>
      <c r="W152" s="14" t="s">
        <v>1701</v>
      </c>
      <c r="X152" s="14">
        <f>Augmented_Data!$Z152-Augmented_Data!$AA152</f>
        <v>54</v>
      </c>
      <c r="Y152" s="14">
        <f>Augmented_Data!$N152*Augmented_Data!$O152</f>
        <v>1925.92</v>
      </c>
      <c r="Z152" s="14">
        <f>Augmented_Data!$Y152+Augmented_Data!$T152</f>
        <v>1979.92</v>
      </c>
      <c r="AA152" s="16">
        <f>IF(Augmented_Data!Q152="0 delivery charge",Augmented_Data!Z152-Augmented_Data!T152,Augmented_Data!Z152*(1-Augmented_Data!Q152))</f>
        <v>1925.92</v>
      </c>
    </row>
    <row r="153" spans="1:27" x14ac:dyDescent="0.3">
      <c r="A153" s="11" t="s">
        <v>74</v>
      </c>
      <c r="B153" s="11" t="str">
        <f>_xlfn.CONCAT(Augmented_Data!$C153," ",Augmented_Data!$D153)</f>
        <v>Jodi Whitney</v>
      </c>
      <c r="C153" s="11" t="s">
        <v>167</v>
      </c>
      <c r="D153" s="11" t="s">
        <v>252</v>
      </c>
      <c r="E153" s="11">
        <v>33</v>
      </c>
      <c r="F153" s="11" t="s">
        <v>290</v>
      </c>
      <c r="G153" s="11" t="s">
        <v>297</v>
      </c>
      <c r="H153" s="11" t="s">
        <v>355</v>
      </c>
      <c r="I153" s="11" t="s">
        <v>455</v>
      </c>
      <c r="J153" s="11" t="s">
        <v>650</v>
      </c>
      <c r="K153" s="12">
        <v>45200</v>
      </c>
      <c r="L153" s="11" t="s">
        <v>1150</v>
      </c>
      <c r="M153" s="11" t="s">
        <v>1527</v>
      </c>
      <c r="N153" s="11">
        <v>77.84</v>
      </c>
      <c r="O153" s="11">
        <v>5</v>
      </c>
      <c r="P153" s="11" t="s">
        <v>1549</v>
      </c>
      <c r="Q153" s="11" t="str">
        <f>_xlfn.IFS(Augmented_Data!$P153="FLAT8","8%",Augmented_Data!$P153="FLAT10","10%",Augmented_Data!$P153="FLAT15","15%",Augmented_Data!$P153="FLAT20","20%",Augmented_Data!$P153="DEL0","0 delivery charge")</f>
        <v>10%</v>
      </c>
      <c r="R153" s="11">
        <v>1</v>
      </c>
      <c r="S153" s="11" t="str">
        <f>_xlfn.IFS(Augmented_Data!U153-Augmented_Data!K153=Augmented_Data!$R153,"Intime",Augmented_Data!U153-Augmented_Data!K153&lt;Augmented_Data!R153,"Before Time",Augmented_Data!U153-Augmented_Data!K153&gt;Augmented_Data!R153,"Late")</f>
        <v>Late</v>
      </c>
      <c r="T153" s="11">
        <v>41</v>
      </c>
      <c r="U153" s="12">
        <v>45206</v>
      </c>
      <c r="V153" s="11">
        <f>DATEDIF(Augmented_Data!$K153,Augmented_Data!$U153,"D")</f>
        <v>6</v>
      </c>
      <c r="W153" s="11" t="s">
        <v>1702</v>
      </c>
      <c r="X153" s="11">
        <f>Augmented_Data!$Z153-Augmented_Data!$AA153</f>
        <v>43.019999999999982</v>
      </c>
      <c r="Y153" s="11">
        <f>Augmented_Data!$N153*Augmented_Data!$O153</f>
        <v>389.20000000000005</v>
      </c>
      <c r="Z153" s="11">
        <f>Augmented_Data!$Y153+Augmented_Data!$T153</f>
        <v>430.20000000000005</v>
      </c>
      <c r="AA153" s="13">
        <f>IF(Augmented_Data!Q153="0 delivery charge",Augmented_Data!Z153-Augmented_Data!T153,Augmented_Data!Z153*(1-Augmented_Data!Q153))</f>
        <v>387.18000000000006</v>
      </c>
    </row>
    <row r="154" spans="1:27" x14ac:dyDescent="0.3">
      <c r="A154" s="14" t="s">
        <v>66</v>
      </c>
      <c r="B154" s="14" t="str">
        <f>_xlfn.CONCAT(Augmented_Data!$C154," ",Augmented_Data!$D154)</f>
        <v>Debra Hayes</v>
      </c>
      <c r="C154" s="14" t="s">
        <v>127</v>
      </c>
      <c r="D154" s="14" t="s">
        <v>247</v>
      </c>
      <c r="E154" s="14">
        <v>33</v>
      </c>
      <c r="F154" s="14" t="s">
        <v>288</v>
      </c>
      <c r="G154" s="14" t="s">
        <v>297</v>
      </c>
      <c r="H154" s="14" t="s">
        <v>347</v>
      </c>
      <c r="I154" s="14" t="s">
        <v>447</v>
      </c>
      <c r="J154" s="14" t="s">
        <v>651</v>
      </c>
      <c r="K154" s="15">
        <v>45330</v>
      </c>
      <c r="L154" s="14" t="s">
        <v>1151</v>
      </c>
      <c r="M154" s="14" t="s">
        <v>1518</v>
      </c>
      <c r="N154" s="14">
        <v>496.59</v>
      </c>
      <c r="O154" s="14">
        <v>2</v>
      </c>
      <c r="P154" s="14" t="s">
        <v>1549</v>
      </c>
      <c r="Q154" s="14" t="str">
        <f>_xlfn.IFS(Augmented_Data!$P154="FLAT8","8%",Augmented_Data!$P154="FLAT10","10%",Augmented_Data!$P154="FLAT15","15%",Augmented_Data!$P154="FLAT20","20%",Augmented_Data!$P154="DEL0","0 delivery charge")</f>
        <v>10%</v>
      </c>
      <c r="R154" s="14">
        <v>5</v>
      </c>
      <c r="S154" s="14" t="str">
        <f>_xlfn.IFS(Augmented_Data!U154-Augmented_Data!K154=Augmented_Data!$R154,"Intime",Augmented_Data!U154-Augmented_Data!K154&lt;Augmented_Data!R154,"Before Time",Augmented_Data!U154-Augmented_Data!K154&gt;Augmented_Data!R154,"Late")</f>
        <v>Before Time</v>
      </c>
      <c r="T154" s="14">
        <v>40</v>
      </c>
      <c r="U154" s="15">
        <v>45331</v>
      </c>
      <c r="V154" s="14">
        <f>DATEDIF(Augmented_Data!$K154,Augmented_Data!$U154,"D")</f>
        <v>1</v>
      </c>
      <c r="W154" s="14" t="s">
        <v>1703</v>
      </c>
      <c r="X154" s="14">
        <f>Augmented_Data!$Z154-Augmented_Data!$AA154</f>
        <v>103.31799999999998</v>
      </c>
      <c r="Y154" s="14">
        <f>Augmented_Data!$N154*Augmented_Data!$O154</f>
        <v>993.18</v>
      </c>
      <c r="Z154" s="14">
        <f>Augmented_Data!$Y154+Augmented_Data!$T154</f>
        <v>1033.1799999999998</v>
      </c>
      <c r="AA154" s="16">
        <f>IF(Augmented_Data!Q154="0 delivery charge",Augmented_Data!Z154-Augmented_Data!T154,Augmented_Data!Z154*(1-Augmented_Data!Q154))</f>
        <v>929.86199999999985</v>
      </c>
    </row>
    <row r="155" spans="1:27" x14ac:dyDescent="0.3">
      <c r="A155" s="11" t="s">
        <v>100</v>
      </c>
      <c r="B155" s="11" t="str">
        <f>_xlfn.CONCAT(Augmented_Data!$C155," ",Augmented_Data!$D155)</f>
        <v>Teresa Harvey</v>
      </c>
      <c r="C155" s="11" t="s">
        <v>188</v>
      </c>
      <c r="D155" s="11" t="s">
        <v>274</v>
      </c>
      <c r="E155" s="11">
        <v>64</v>
      </c>
      <c r="F155" s="11" t="s">
        <v>290</v>
      </c>
      <c r="G155" s="11" t="s">
        <v>291</v>
      </c>
      <c r="H155" s="11" t="s">
        <v>381</v>
      </c>
      <c r="I155" s="11" t="s">
        <v>481</v>
      </c>
      <c r="J155" s="11" t="s">
        <v>995</v>
      </c>
      <c r="K155" s="12">
        <v>45129</v>
      </c>
      <c r="L155" s="11" t="s">
        <v>1493</v>
      </c>
      <c r="M155" s="11" t="s">
        <v>1510</v>
      </c>
      <c r="N155" s="11">
        <v>220.27</v>
      </c>
      <c r="O155" s="11">
        <v>3</v>
      </c>
      <c r="P155" s="11" t="s">
        <v>2047</v>
      </c>
      <c r="Q155" s="11" t="str">
        <f>_xlfn.IFS(Augmented_Data!$P155="FLAT8","8%",Augmented_Data!$P155="FLAT10","10%",Augmented_Data!$P155="FLAT15","15%",Augmented_Data!$P155="FLAT20","20%",Augmented_Data!$P155="DEL0","0 delivery charge")</f>
        <v>8%</v>
      </c>
      <c r="R155" s="11">
        <v>6</v>
      </c>
      <c r="S155" s="11" t="str">
        <f>_xlfn.IFS(Augmented_Data!U155-Augmented_Data!K155=Augmented_Data!$R155,"Intime",Augmented_Data!U155-Augmented_Data!K155&lt;Augmented_Data!R155,"Before Time",Augmented_Data!U155-Augmented_Data!K155&gt;Augmented_Data!R155,"Late")</f>
        <v>Before Time</v>
      </c>
      <c r="T155" s="11">
        <v>48</v>
      </c>
      <c r="U155" s="12">
        <v>45132</v>
      </c>
      <c r="V155" s="11">
        <f>DATEDIF(Augmented_Data!$K155,Augmented_Data!$U155,"D")</f>
        <v>3</v>
      </c>
      <c r="W155" s="11" t="s">
        <v>2043</v>
      </c>
      <c r="X155" s="11">
        <f>Augmented_Data!$Z155-Augmented_Data!$AA155</f>
        <v>56.704799999999977</v>
      </c>
      <c r="Y155" s="11">
        <f>Augmented_Data!$N155*Augmented_Data!$O155</f>
        <v>660.81000000000006</v>
      </c>
      <c r="Z155" s="11">
        <f>Augmented_Data!$Y155+Augmented_Data!$T155</f>
        <v>708.81000000000006</v>
      </c>
      <c r="AA155" s="13">
        <f>IF(Augmented_Data!Q155="0 delivery charge",Augmented_Data!Z155-Augmented_Data!T155,Augmented_Data!Z155*(1-Augmented_Data!Q155))</f>
        <v>652.10520000000008</v>
      </c>
    </row>
    <row r="156" spans="1:27" x14ac:dyDescent="0.3">
      <c r="A156" s="14" t="s">
        <v>46</v>
      </c>
      <c r="B156" s="14" t="str">
        <f>_xlfn.CONCAT(Augmented_Data!$C156," ",Augmented_Data!$D156)</f>
        <v>Lauren Long</v>
      </c>
      <c r="C156" s="14" t="s">
        <v>144</v>
      </c>
      <c r="D156" s="14" t="s">
        <v>227</v>
      </c>
      <c r="E156" s="14">
        <v>44</v>
      </c>
      <c r="F156" s="14" t="s">
        <v>288</v>
      </c>
      <c r="G156" s="14" t="s">
        <v>298</v>
      </c>
      <c r="H156" s="14" t="s">
        <v>327</v>
      </c>
      <c r="I156" s="14" t="s">
        <v>427</v>
      </c>
      <c r="J156" s="14" t="s">
        <v>653</v>
      </c>
      <c r="K156" s="15">
        <v>45584</v>
      </c>
      <c r="L156" s="14" t="s">
        <v>1153</v>
      </c>
      <c r="M156" s="14" t="s">
        <v>1523</v>
      </c>
      <c r="N156" s="14">
        <v>129.75</v>
      </c>
      <c r="O156" s="14">
        <v>1</v>
      </c>
      <c r="P156" s="14" t="s">
        <v>1547</v>
      </c>
      <c r="Q156" s="14" t="str">
        <f>_xlfn.IFS(Augmented_Data!$P156="FLAT8","8%",Augmented_Data!$P156="FLAT10","10%",Augmented_Data!$P156="FLAT15","15%",Augmented_Data!$P156="FLAT20","20%",Augmented_Data!$P156="DEL0","0 delivery charge")</f>
        <v>0 delivery charge</v>
      </c>
      <c r="R156" s="14">
        <v>7</v>
      </c>
      <c r="S156" s="14" t="str">
        <f>_xlfn.IFS(Augmented_Data!U156-Augmented_Data!K156=Augmented_Data!$R156,"Intime",Augmented_Data!U156-Augmented_Data!K156&lt;Augmented_Data!R156,"Before Time",Augmented_Data!U156-Augmented_Data!K156&gt;Augmented_Data!R156,"Late")</f>
        <v>Intime</v>
      </c>
      <c r="T156" s="14">
        <v>44</v>
      </c>
      <c r="U156" s="15">
        <v>45591</v>
      </c>
      <c r="V156" s="14">
        <f>DATEDIF(Augmented_Data!$K156,Augmented_Data!$U156,"D")</f>
        <v>7</v>
      </c>
      <c r="W156" s="14" t="s">
        <v>1705</v>
      </c>
      <c r="X156" s="14">
        <f>Augmented_Data!$Z156-Augmented_Data!$AA156</f>
        <v>44</v>
      </c>
      <c r="Y156" s="14">
        <f>Augmented_Data!$N156*Augmented_Data!$O156</f>
        <v>129.75</v>
      </c>
      <c r="Z156" s="14">
        <f>Augmented_Data!$Y156+Augmented_Data!$T156</f>
        <v>173.75</v>
      </c>
      <c r="AA156" s="16">
        <f>IF(Augmented_Data!Q156="0 delivery charge",Augmented_Data!Z156-Augmented_Data!T156,Augmented_Data!Z156*(1-Augmented_Data!Q156))</f>
        <v>129.75</v>
      </c>
    </row>
    <row r="157" spans="1:27" x14ac:dyDescent="0.3">
      <c r="A157" s="11" t="s">
        <v>91</v>
      </c>
      <c r="B157" s="11" t="str">
        <f>_xlfn.CONCAT(Augmented_Data!$C157," ",Augmented_Data!$D157)</f>
        <v>Barbara Fuller</v>
      </c>
      <c r="C157" s="11" t="s">
        <v>180</v>
      </c>
      <c r="D157" s="11" t="s">
        <v>267</v>
      </c>
      <c r="E157" s="11">
        <v>43</v>
      </c>
      <c r="F157" s="11" t="s">
        <v>290</v>
      </c>
      <c r="G157" s="11" t="s">
        <v>293</v>
      </c>
      <c r="H157" s="11" t="s">
        <v>372</v>
      </c>
      <c r="I157" s="11" t="s">
        <v>472</v>
      </c>
      <c r="J157" s="11" t="s">
        <v>654</v>
      </c>
      <c r="K157" s="12">
        <v>45291</v>
      </c>
      <c r="L157" s="11" t="s">
        <v>1154</v>
      </c>
      <c r="M157" s="11" t="s">
        <v>1533</v>
      </c>
      <c r="N157" s="11">
        <v>136.30000000000001</v>
      </c>
      <c r="O157" s="11">
        <v>1</v>
      </c>
      <c r="P157" s="11" t="s">
        <v>1548</v>
      </c>
      <c r="Q157" s="11" t="str">
        <f>_xlfn.IFS(Augmented_Data!$P157="FLAT8","8%",Augmented_Data!$P157="FLAT10","10%",Augmented_Data!$P157="FLAT15","15%",Augmented_Data!$P157="FLAT20","20%",Augmented_Data!$P157="DEL0","0 delivery charge")</f>
        <v>15%</v>
      </c>
      <c r="R157" s="11">
        <v>1</v>
      </c>
      <c r="S157" s="11" t="str">
        <f>_xlfn.IFS(Augmented_Data!U157-Augmented_Data!K157=Augmented_Data!$R157,"Intime",Augmented_Data!U157-Augmented_Data!K157&lt;Augmented_Data!R157,"Before Time",Augmented_Data!U157-Augmented_Data!K157&gt;Augmented_Data!R157,"Late")</f>
        <v>Late</v>
      </c>
      <c r="T157" s="11">
        <v>64</v>
      </c>
      <c r="U157" s="12">
        <v>45296</v>
      </c>
      <c r="V157" s="11">
        <f>DATEDIF(Augmented_Data!$K157,Augmented_Data!$U157,"D")</f>
        <v>5</v>
      </c>
      <c r="W157" s="11" t="s">
        <v>1706</v>
      </c>
      <c r="X157" s="11">
        <f>Augmented_Data!$Z157-Augmented_Data!$AA157</f>
        <v>30.045000000000016</v>
      </c>
      <c r="Y157" s="11">
        <f>Augmented_Data!$N157*Augmented_Data!$O157</f>
        <v>136.30000000000001</v>
      </c>
      <c r="Z157" s="11">
        <f>Augmented_Data!$Y157+Augmented_Data!$T157</f>
        <v>200.3</v>
      </c>
      <c r="AA157" s="13">
        <f>IF(Augmented_Data!Q157="0 delivery charge",Augmented_Data!Z157-Augmented_Data!T157,Augmented_Data!Z157*(1-Augmented_Data!Q157))</f>
        <v>170.255</v>
      </c>
    </row>
    <row r="158" spans="1:27" x14ac:dyDescent="0.3">
      <c r="A158" s="14" t="s">
        <v>61</v>
      </c>
      <c r="B158" s="14" t="str">
        <f>_xlfn.CONCAT(Augmented_Data!$C158," ",Augmented_Data!$D158)</f>
        <v>Mary Knight</v>
      </c>
      <c r="C158" s="14" t="s">
        <v>158</v>
      </c>
      <c r="D158" s="14" t="s">
        <v>242</v>
      </c>
      <c r="E158" s="14">
        <v>28</v>
      </c>
      <c r="F158" s="14" t="s">
        <v>290</v>
      </c>
      <c r="G158" s="14" t="s">
        <v>295</v>
      </c>
      <c r="H158" s="14" t="s">
        <v>342</v>
      </c>
      <c r="I158" s="14" t="s">
        <v>442</v>
      </c>
      <c r="J158" s="14" t="s">
        <v>655</v>
      </c>
      <c r="K158" s="15">
        <v>45482</v>
      </c>
      <c r="L158" s="14" t="s">
        <v>1155</v>
      </c>
      <c r="M158" s="14" t="s">
        <v>1531</v>
      </c>
      <c r="N158" s="14">
        <v>286.07</v>
      </c>
      <c r="O158" s="14">
        <v>2</v>
      </c>
      <c r="P158" s="14" t="s">
        <v>2047</v>
      </c>
      <c r="Q158" s="14" t="str">
        <f>_xlfn.IFS(Augmented_Data!$P158="FLAT8","8%",Augmented_Data!$P158="FLAT10","10%",Augmented_Data!$P158="FLAT15","15%",Augmented_Data!$P158="FLAT20","20%",Augmented_Data!$P158="DEL0","0 delivery charge")</f>
        <v>8%</v>
      </c>
      <c r="R158" s="14">
        <v>3</v>
      </c>
      <c r="S158" s="14" t="str">
        <f>_xlfn.IFS(Augmented_Data!U158-Augmented_Data!K158=Augmented_Data!$R158,"Intime",Augmented_Data!U158-Augmented_Data!K158&lt;Augmented_Data!R158,"Before Time",Augmented_Data!U158-Augmented_Data!K158&gt;Augmented_Data!R158,"Late")</f>
        <v>Intime</v>
      </c>
      <c r="T158" s="14">
        <v>54</v>
      </c>
      <c r="U158" s="15">
        <v>45485</v>
      </c>
      <c r="V158" s="14">
        <f>DATEDIF(Augmented_Data!$K158,Augmented_Data!$U158,"D")</f>
        <v>3</v>
      </c>
      <c r="W158" s="14" t="s">
        <v>1707</v>
      </c>
      <c r="X158" s="14">
        <f>Augmented_Data!$Z158-Augmented_Data!$AA158</f>
        <v>50.091199999999958</v>
      </c>
      <c r="Y158" s="14">
        <f>Augmented_Data!$N158*Augmented_Data!$O158</f>
        <v>572.14</v>
      </c>
      <c r="Z158" s="14">
        <f>Augmented_Data!$Y158+Augmented_Data!$T158</f>
        <v>626.14</v>
      </c>
      <c r="AA158" s="16">
        <f>IF(Augmented_Data!Q158="0 delivery charge",Augmented_Data!Z158-Augmented_Data!T158,Augmented_Data!Z158*(1-Augmented_Data!Q158))</f>
        <v>576.04880000000003</v>
      </c>
    </row>
    <row r="159" spans="1:27" x14ac:dyDescent="0.3">
      <c r="A159" s="11" t="s">
        <v>70</v>
      </c>
      <c r="B159" s="11" t="str">
        <f>_xlfn.CONCAT(Augmented_Data!$C159," ",Augmented_Data!$D159)</f>
        <v>Sarah Butler</v>
      </c>
      <c r="C159" s="11" t="s">
        <v>164</v>
      </c>
      <c r="D159" s="11" t="s">
        <v>248</v>
      </c>
      <c r="E159" s="11">
        <v>64</v>
      </c>
      <c r="F159" s="11" t="s">
        <v>288</v>
      </c>
      <c r="G159" s="11" t="s">
        <v>291</v>
      </c>
      <c r="H159" s="11" t="s">
        <v>351</v>
      </c>
      <c r="I159" s="11" t="s">
        <v>451</v>
      </c>
      <c r="J159" s="11" t="s">
        <v>656</v>
      </c>
      <c r="K159" s="12">
        <v>45089</v>
      </c>
      <c r="L159" s="11" t="s">
        <v>1156</v>
      </c>
      <c r="M159" s="11" t="s">
        <v>1503</v>
      </c>
      <c r="N159" s="11">
        <v>363.64</v>
      </c>
      <c r="O159" s="11">
        <v>2</v>
      </c>
      <c r="P159" s="11" t="s">
        <v>1547</v>
      </c>
      <c r="Q159" s="11" t="str">
        <f>_xlfn.IFS(Augmented_Data!$P159="FLAT8","8%",Augmented_Data!$P159="FLAT10","10%",Augmented_Data!$P159="FLAT15","15%",Augmented_Data!$P159="FLAT20","20%",Augmented_Data!$P159="DEL0","0 delivery charge")</f>
        <v>0 delivery charge</v>
      </c>
      <c r="R159" s="11">
        <v>4</v>
      </c>
      <c r="S159" s="11" t="str">
        <f>_xlfn.IFS(Augmented_Data!U159-Augmented_Data!K159=Augmented_Data!$R159,"Intime",Augmented_Data!U159-Augmented_Data!K159&lt;Augmented_Data!R159,"Before Time",Augmented_Data!U159-Augmented_Data!K159&gt;Augmented_Data!R159,"Late")</f>
        <v>Before Time</v>
      </c>
      <c r="T159" s="11">
        <v>40</v>
      </c>
      <c r="U159" s="12">
        <v>45091</v>
      </c>
      <c r="V159" s="11">
        <f>DATEDIF(Augmented_Data!$K159,Augmented_Data!$U159,"D")</f>
        <v>2</v>
      </c>
      <c r="W159" s="11" t="s">
        <v>1708</v>
      </c>
      <c r="X159" s="11">
        <f>Augmented_Data!$Z159-Augmented_Data!$AA159</f>
        <v>40</v>
      </c>
      <c r="Y159" s="11">
        <f>Augmented_Data!$N159*Augmented_Data!$O159</f>
        <v>727.28</v>
      </c>
      <c r="Z159" s="11">
        <f>Augmented_Data!$Y159+Augmented_Data!$T159</f>
        <v>767.28</v>
      </c>
      <c r="AA159" s="13">
        <f>IF(Augmented_Data!Q159="0 delivery charge",Augmented_Data!Z159-Augmented_Data!T159,Augmented_Data!Z159*(1-Augmented_Data!Q159))</f>
        <v>727.28</v>
      </c>
    </row>
    <row r="160" spans="1:27" x14ac:dyDescent="0.3">
      <c r="A160" s="14" t="s">
        <v>61</v>
      </c>
      <c r="B160" s="14" t="str">
        <f>_xlfn.CONCAT(Augmented_Data!$C160," ",Augmented_Data!$D160)</f>
        <v>Mary Knight</v>
      </c>
      <c r="C160" s="14" t="s">
        <v>158</v>
      </c>
      <c r="D160" s="14" t="s">
        <v>242</v>
      </c>
      <c r="E160" s="14">
        <v>28</v>
      </c>
      <c r="F160" s="14" t="s">
        <v>290</v>
      </c>
      <c r="G160" s="14" t="s">
        <v>295</v>
      </c>
      <c r="H160" s="14" t="s">
        <v>342</v>
      </c>
      <c r="I160" s="14" t="s">
        <v>442</v>
      </c>
      <c r="J160" s="14" t="s">
        <v>657</v>
      </c>
      <c r="K160" s="15">
        <v>45610</v>
      </c>
      <c r="L160" s="14" t="s">
        <v>1157</v>
      </c>
      <c r="M160" s="14" t="s">
        <v>1537</v>
      </c>
      <c r="N160" s="14">
        <v>445.81</v>
      </c>
      <c r="O160" s="14">
        <v>5</v>
      </c>
      <c r="P160" s="14" t="s">
        <v>2047</v>
      </c>
      <c r="Q160" s="14" t="str">
        <f>_xlfn.IFS(Augmented_Data!$P160="FLAT8","8%",Augmented_Data!$P160="FLAT10","10%",Augmented_Data!$P160="FLAT15","15%",Augmented_Data!$P160="FLAT20","20%",Augmented_Data!$P160="DEL0","0 delivery charge")</f>
        <v>8%</v>
      </c>
      <c r="R160" s="14">
        <v>6</v>
      </c>
      <c r="S160" s="14" t="str">
        <f>_xlfn.IFS(Augmented_Data!U160-Augmented_Data!K160=Augmented_Data!$R160,"Intime",Augmented_Data!U160-Augmented_Data!K160&lt;Augmented_Data!R160,"Before Time",Augmented_Data!U160-Augmented_Data!K160&gt;Augmented_Data!R160,"Late")</f>
        <v>Before Time</v>
      </c>
      <c r="T160" s="14">
        <v>70</v>
      </c>
      <c r="U160" s="15">
        <v>45613</v>
      </c>
      <c r="V160" s="14">
        <f>DATEDIF(Augmented_Data!$K160,Augmented_Data!$U160,"D")</f>
        <v>3</v>
      </c>
      <c r="W160" s="14" t="s">
        <v>1709</v>
      </c>
      <c r="X160" s="14">
        <f>Augmented_Data!$Z160-Augmented_Data!$AA160</f>
        <v>183.92399999999998</v>
      </c>
      <c r="Y160" s="14">
        <f>Augmented_Data!$N160*Augmented_Data!$O160</f>
        <v>2229.0500000000002</v>
      </c>
      <c r="Z160" s="14">
        <f>Augmented_Data!$Y160+Augmented_Data!$T160</f>
        <v>2299.0500000000002</v>
      </c>
      <c r="AA160" s="16">
        <f>IF(Augmented_Data!Q160="0 delivery charge",Augmented_Data!Z160-Augmented_Data!T160,Augmented_Data!Z160*(1-Augmented_Data!Q160))</f>
        <v>2115.1260000000002</v>
      </c>
    </row>
    <row r="161" spans="1:27" x14ac:dyDescent="0.3">
      <c r="A161" s="11" t="s">
        <v>47</v>
      </c>
      <c r="B161" s="11" t="str">
        <f>_xlfn.CONCAT(Augmented_Data!$C161," ",Augmented_Data!$D161)</f>
        <v>Rachael Robinson</v>
      </c>
      <c r="C161" s="11" t="s">
        <v>145</v>
      </c>
      <c r="D161" s="11" t="s">
        <v>228</v>
      </c>
      <c r="E161" s="11">
        <v>24</v>
      </c>
      <c r="F161" s="11" t="s">
        <v>290</v>
      </c>
      <c r="G161" s="11" t="s">
        <v>298</v>
      </c>
      <c r="H161" s="11" t="s">
        <v>328</v>
      </c>
      <c r="I161" s="11" t="s">
        <v>428</v>
      </c>
      <c r="J161" s="11" t="s">
        <v>530</v>
      </c>
      <c r="K161" s="12">
        <v>45045</v>
      </c>
      <c r="L161" s="11" t="s">
        <v>1030</v>
      </c>
      <c r="M161" s="11" t="s">
        <v>1521</v>
      </c>
      <c r="N161" s="11">
        <v>110.95</v>
      </c>
      <c r="O161" s="11">
        <v>5</v>
      </c>
      <c r="P161" s="11" t="s">
        <v>1550</v>
      </c>
      <c r="Q161" s="11" t="str">
        <f>_xlfn.IFS(Augmented_Data!$P161="FLAT8","8%",Augmented_Data!$P161="FLAT10","10%",Augmented_Data!$P161="FLAT15","15%",Augmented_Data!$P161="FLAT20","20%",Augmented_Data!$P161="DEL0","0 delivery charge")</f>
        <v>20%</v>
      </c>
      <c r="R161" s="11">
        <v>5</v>
      </c>
      <c r="S161" s="11" t="str">
        <f>_xlfn.IFS(Augmented_Data!U161-Augmented_Data!K161=Augmented_Data!$R161,"Intime",Augmented_Data!U161-Augmented_Data!K161&lt;Augmented_Data!R161,"Before Time",Augmented_Data!U161-Augmented_Data!K161&gt;Augmented_Data!R161,"Late")</f>
        <v>Before Time</v>
      </c>
      <c r="T161" s="11">
        <v>62</v>
      </c>
      <c r="U161" s="12">
        <v>45047</v>
      </c>
      <c r="V161" s="11">
        <f>DATEDIF(Augmented_Data!$K161,Augmented_Data!$U161,"D")</f>
        <v>2</v>
      </c>
      <c r="W161" s="11" t="s">
        <v>1582</v>
      </c>
      <c r="X161" s="11">
        <f>Augmented_Data!$Z161-Augmented_Data!$AA161</f>
        <v>123.34999999999997</v>
      </c>
      <c r="Y161" s="11">
        <f>Augmented_Data!$N161*Augmented_Data!$O161</f>
        <v>554.75</v>
      </c>
      <c r="Z161" s="11">
        <f>Augmented_Data!$Y161+Augmented_Data!$T161</f>
        <v>616.75</v>
      </c>
      <c r="AA161" s="13">
        <f>IF(Augmented_Data!Q161="0 delivery charge",Augmented_Data!Z161-Augmented_Data!T161,Augmented_Data!Z161*(1-Augmented_Data!Q161))</f>
        <v>493.40000000000003</v>
      </c>
    </row>
    <row r="162" spans="1:27" x14ac:dyDescent="0.3">
      <c r="A162" s="14" t="s">
        <v>67</v>
      </c>
      <c r="B162" s="14" t="str">
        <f>_xlfn.CONCAT(Augmented_Data!$C162," ",Augmented_Data!$D162)</f>
        <v>Brittany Stewart</v>
      </c>
      <c r="C162" s="14" t="s">
        <v>161</v>
      </c>
      <c r="D162" s="14" t="s">
        <v>211</v>
      </c>
      <c r="E162" s="14">
        <v>68</v>
      </c>
      <c r="F162" s="14" t="s">
        <v>290</v>
      </c>
      <c r="G162" s="14" t="s">
        <v>298</v>
      </c>
      <c r="H162" s="14" t="s">
        <v>348</v>
      </c>
      <c r="I162" s="14" t="s">
        <v>448</v>
      </c>
      <c r="J162" s="14" t="s">
        <v>659</v>
      </c>
      <c r="K162" s="15">
        <v>45529</v>
      </c>
      <c r="L162" s="14" t="s">
        <v>1159</v>
      </c>
      <c r="M162" s="14" t="s">
        <v>1512</v>
      </c>
      <c r="N162" s="14">
        <v>104.18</v>
      </c>
      <c r="O162" s="14">
        <v>4</v>
      </c>
      <c r="P162" s="14" t="s">
        <v>2047</v>
      </c>
      <c r="Q162" s="14" t="str">
        <f>_xlfn.IFS(Augmented_Data!$P162="FLAT8","8%",Augmented_Data!$P162="FLAT10","10%",Augmented_Data!$P162="FLAT15","15%",Augmented_Data!$P162="FLAT20","20%",Augmented_Data!$P162="DEL0","0 delivery charge")</f>
        <v>8%</v>
      </c>
      <c r="R162" s="14">
        <v>4</v>
      </c>
      <c r="S162" s="14" t="str">
        <f>_xlfn.IFS(Augmented_Data!U162-Augmented_Data!K162=Augmented_Data!$R162,"Intime",Augmented_Data!U162-Augmented_Data!K162&lt;Augmented_Data!R162,"Before Time",Augmented_Data!U162-Augmented_Data!K162&gt;Augmented_Data!R162,"Late")</f>
        <v>Late</v>
      </c>
      <c r="T162" s="14">
        <v>45</v>
      </c>
      <c r="U162" s="15">
        <v>45536</v>
      </c>
      <c r="V162" s="14">
        <f>DATEDIF(Augmented_Data!$K162,Augmented_Data!$U162,"D")</f>
        <v>7</v>
      </c>
      <c r="W162" s="14" t="s">
        <v>1711</v>
      </c>
      <c r="X162" s="14">
        <f>Augmented_Data!$Z162-Augmented_Data!$AA162</f>
        <v>36.937599999999975</v>
      </c>
      <c r="Y162" s="14">
        <f>Augmented_Data!$N162*Augmented_Data!$O162</f>
        <v>416.72</v>
      </c>
      <c r="Z162" s="14">
        <f>Augmented_Data!$Y162+Augmented_Data!$T162</f>
        <v>461.72</v>
      </c>
      <c r="AA162" s="16">
        <f>IF(Augmented_Data!Q162="0 delivery charge",Augmented_Data!Z162-Augmented_Data!T162,Augmented_Data!Z162*(1-Augmented_Data!Q162))</f>
        <v>424.78240000000005</v>
      </c>
    </row>
    <row r="163" spans="1:27" x14ac:dyDescent="0.3">
      <c r="A163" s="11" t="s">
        <v>65</v>
      </c>
      <c r="B163" s="11" t="str">
        <f>_xlfn.CONCAT(Augmented_Data!$C163," ",Augmented_Data!$D163)</f>
        <v>Lori Cook</v>
      </c>
      <c r="C163" s="11" t="s">
        <v>160</v>
      </c>
      <c r="D163" s="11" t="s">
        <v>246</v>
      </c>
      <c r="E163" s="11">
        <v>18</v>
      </c>
      <c r="F163" s="11" t="s">
        <v>289</v>
      </c>
      <c r="G163" s="11" t="s">
        <v>292</v>
      </c>
      <c r="H163" s="11" t="s">
        <v>346</v>
      </c>
      <c r="I163" s="11" t="s">
        <v>446</v>
      </c>
      <c r="J163" s="11" t="s">
        <v>660</v>
      </c>
      <c r="K163" s="12">
        <v>45535</v>
      </c>
      <c r="L163" s="11" t="s">
        <v>1160</v>
      </c>
      <c r="M163" s="11" t="s">
        <v>1518</v>
      </c>
      <c r="N163" s="11">
        <v>496.59</v>
      </c>
      <c r="O163" s="11">
        <v>4</v>
      </c>
      <c r="P163" s="11" t="s">
        <v>1550</v>
      </c>
      <c r="Q163" s="11" t="str">
        <f>_xlfn.IFS(Augmented_Data!$P163="FLAT8","8%",Augmented_Data!$P163="FLAT10","10%",Augmented_Data!$P163="FLAT15","15%",Augmented_Data!$P163="FLAT20","20%",Augmented_Data!$P163="DEL0","0 delivery charge")</f>
        <v>20%</v>
      </c>
      <c r="R163" s="11">
        <v>1</v>
      </c>
      <c r="S163" s="11" t="str">
        <f>_xlfn.IFS(Augmented_Data!U163-Augmented_Data!K163=Augmented_Data!$R163,"Intime",Augmented_Data!U163-Augmented_Data!K163&lt;Augmented_Data!R163,"Before Time",Augmented_Data!U163-Augmented_Data!K163&gt;Augmented_Data!R163,"Late")</f>
        <v>Late</v>
      </c>
      <c r="T163" s="11">
        <v>59</v>
      </c>
      <c r="U163" s="12">
        <v>45541</v>
      </c>
      <c r="V163" s="11">
        <f>DATEDIF(Augmented_Data!$K163,Augmented_Data!$U163,"D")</f>
        <v>6</v>
      </c>
      <c r="W163" s="11" t="s">
        <v>1712</v>
      </c>
      <c r="X163" s="11">
        <f>Augmented_Data!$Z163-Augmented_Data!$AA163</f>
        <v>409.07199999999989</v>
      </c>
      <c r="Y163" s="11">
        <f>Augmented_Data!$N163*Augmented_Data!$O163</f>
        <v>1986.36</v>
      </c>
      <c r="Z163" s="11">
        <f>Augmented_Data!$Y163+Augmented_Data!$T163</f>
        <v>2045.36</v>
      </c>
      <c r="AA163" s="13">
        <f>IF(Augmented_Data!Q163="0 delivery charge",Augmented_Data!Z163-Augmented_Data!T163,Augmented_Data!Z163*(1-Augmented_Data!Q163))</f>
        <v>1636.288</v>
      </c>
    </row>
    <row r="164" spans="1:27" x14ac:dyDescent="0.3">
      <c r="A164" s="14" t="s">
        <v>28</v>
      </c>
      <c r="B164" s="14" t="str">
        <f>_xlfn.CONCAT(Augmented_Data!$C164," ",Augmented_Data!$D164)</f>
        <v>Bobby Forbes</v>
      </c>
      <c r="C164" s="14" t="s">
        <v>128</v>
      </c>
      <c r="D164" s="14" t="s">
        <v>210</v>
      </c>
      <c r="E164" s="14">
        <v>20</v>
      </c>
      <c r="F164" s="14" t="s">
        <v>288</v>
      </c>
      <c r="G164" s="14" t="s">
        <v>296</v>
      </c>
      <c r="H164" s="14" t="s">
        <v>309</v>
      </c>
      <c r="I164" s="14" t="s">
        <v>409</v>
      </c>
      <c r="J164" s="14" t="s">
        <v>922</v>
      </c>
      <c r="K164" s="15">
        <v>44981</v>
      </c>
      <c r="L164" s="14" t="s">
        <v>1421</v>
      </c>
      <c r="M164" s="14" t="s">
        <v>1544</v>
      </c>
      <c r="N164" s="14">
        <v>107.47</v>
      </c>
      <c r="O164" s="14">
        <v>5</v>
      </c>
      <c r="P164" s="14" t="s">
        <v>1550</v>
      </c>
      <c r="Q164" s="14" t="str">
        <f>_xlfn.IFS(Augmented_Data!$P164="FLAT8","8%",Augmented_Data!$P164="FLAT10","10%",Augmented_Data!$P164="FLAT15","15%",Augmented_Data!$P164="FLAT20","20%",Augmented_Data!$P164="DEL0","0 delivery charge")</f>
        <v>20%</v>
      </c>
      <c r="R164" s="14">
        <v>6</v>
      </c>
      <c r="S164" s="14" t="str">
        <f>_xlfn.IFS(Augmented_Data!U164-Augmented_Data!K164=Augmented_Data!$R164,"Intime",Augmented_Data!U164-Augmented_Data!K164&lt;Augmented_Data!R164,"Before Time",Augmented_Data!U164-Augmented_Data!K164&gt;Augmented_Data!R164,"Late")</f>
        <v>Intime</v>
      </c>
      <c r="T164" s="14">
        <v>48</v>
      </c>
      <c r="U164" s="15">
        <v>44987</v>
      </c>
      <c r="V164" s="14">
        <f>DATEDIF(Augmented_Data!$K164,Augmented_Data!$U164,"D")</f>
        <v>6</v>
      </c>
      <c r="W164" s="14" t="s">
        <v>1970</v>
      </c>
      <c r="X164" s="14">
        <f>Augmented_Data!$Z164-Augmented_Data!$AA164</f>
        <v>117.07</v>
      </c>
      <c r="Y164" s="14">
        <f>Augmented_Data!$N164*Augmented_Data!$O164</f>
        <v>537.35</v>
      </c>
      <c r="Z164" s="14">
        <f>Augmented_Data!$Y164+Augmented_Data!$T164</f>
        <v>585.35</v>
      </c>
      <c r="AA164" s="16">
        <f>IF(Augmented_Data!Q164="0 delivery charge",Augmented_Data!Z164-Augmented_Data!T164,Augmented_Data!Z164*(1-Augmented_Data!Q164))</f>
        <v>468.28000000000003</v>
      </c>
    </row>
    <row r="165" spans="1:27" x14ac:dyDescent="0.3">
      <c r="A165" s="11" t="s">
        <v>47</v>
      </c>
      <c r="B165" s="11" t="str">
        <f>_xlfn.CONCAT(Augmented_Data!$C165," ",Augmented_Data!$D165)</f>
        <v>Rachael Robinson</v>
      </c>
      <c r="C165" s="11" t="s">
        <v>145</v>
      </c>
      <c r="D165" s="11" t="s">
        <v>228</v>
      </c>
      <c r="E165" s="11">
        <v>24</v>
      </c>
      <c r="F165" s="11" t="s">
        <v>290</v>
      </c>
      <c r="G165" s="11" t="s">
        <v>298</v>
      </c>
      <c r="H165" s="11" t="s">
        <v>328</v>
      </c>
      <c r="I165" s="11" t="s">
        <v>428</v>
      </c>
      <c r="J165" s="11" t="s">
        <v>574</v>
      </c>
      <c r="K165" s="12">
        <v>45207</v>
      </c>
      <c r="L165" s="11" t="s">
        <v>1074</v>
      </c>
      <c r="M165" s="11" t="s">
        <v>1517</v>
      </c>
      <c r="N165" s="11">
        <v>282.63</v>
      </c>
      <c r="O165" s="11">
        <v>1</v>
      </c>
      <c r="P165" s="11" t="s">
        <v>1547</v>
      </c>
      <c r="Q165" s="11" t="str">
        <f>_xlfn.IFS(Augmented_Data!$P165="FLAT8","8%",Augmented_Data!$P165="FLAT10","10%",Augmented_Data!$P165="FLAT15","15%",Augmented_Data!$P165="FLAT20","20%",Augmented_Data!$P165="DEL0","0 delivery charge")</f>
        <v>0 delivery charge</v>
      </c>
      <c r="R165" s="11">
        <v>5</v>
      </c>
      <c r="S165" s="11" t="str">
        <f>_xlfn.IFS(Augmented_Data!U165-Augmented_Data!K165=Augmented_Data!$R165,"Intime",Augmented_Data!U165-Augmented_Data!K165&lt;Augmented_Data!R165,"Before Time",Augmented_Data!U165-Augmented_Data!K165&gt;Augmented_Data!R165,"Late")</f>
        <v>Late</v>
      </c>
      <c r="T165" s="11">
        <v>45</v>
      </c>
      <c r="U165" s="12">
        <v>45214</v>
      </c>
      <c r="V165" s="11">
        <f>DATEDIF(Augmented_Data!$K165,Augmented_Data!$U165,"D")</f>
        <v>7</v>
      </c>
      <c r="W165" s="11" t="s">
        <v>1626</v>
      </c>
      <c r="X165" s="11">
        <f>Augmented_Data!$Z165-Augmented_Data!$AA165</f>
        <v>45</v>
      </c>
      <c r="Y165" s="11">
        <f>Augmented_Data!$N165*Augmented_Data!$O165</f>
        <v>282.63</v>
      </c>
      <c r="Z165" s="11">
        <f>Augmented_Data!$Y165+Augmented_Data!$T165</f>
        <v>327.63</v>
      </c>
      <c r="AA165" s="13">
        <f>IF(Augmented_Data!Q165="0 delivery charge",Augmented_Data!Z165-Augmented_Data!T165,Augmented_Data!Z165*(1-Augmented_Data!Q165))</f>
        <v>282.63</v>
      </c>
    </row>
    <row r="166" spans="1:27" x14ac:dyDescent="0.3">
      <c r="A166" s="14" t="s">
        <v>29</v>
      </c>
      <c r="B166" s="14" t="str">
        <f>_xlfn.CONCAT(Augmented_Data!$C166," ",Augmented_Data!$D166)</f>
        <v>Joseph Stewart</v>
      </c>
      <c r="C166" s="14" t="s">
        <v>129</v>
      </c>
      <c r="D166" s="14" t="s">
        <v>211</v>
      </c>
      <c r="E166" s="14">
        <v>30</v>
      </c>
      <c r="F166" s="14" t="s">
        <v>289</v>
      </c>
      <c r="G166" s="14" t="s">
        <v>292</v>
      </c>
      <c r="H166" s="14" t="s">
        <v>310</v>
      </c>
      <c r="I166" s="14" t="s">
        <v>410</v>
      </c>
      <c r="J166" s="14" t="s">
        <v>663</v>
      </c>
      <c r="K166" s="15">
        <v>45185</v>
      </c>
      <c r="L166" s="14" t="s">
        <v>1163</v>
      </c>
      <c r="M166" s="14" t="s">
        <v>1530</v>
      </c>
      <c r="N166" s="14">
        <v>369.03</v>
      </c>
      <c r="O166" s="14">
        <v>1</v>
      </c>
      <c r="P166" s="14" t="s">
        <v>1550</v>
      </c>
      <c r="Q166" s="14" t="str">
        <f>_xlfn.IFS(Augmented_Data!$P166="FLAT8","8%",Augmented_Data!$P166="FLAT10","10%",Augmented_Data!$P166="FLAT15","15%",Augmented_Data!$P166="FLAT20","20%",Augmented_Data!$P166="DEL0","0 delivery charge")</f>
        <v>20%</v>
      </c>
      <c r="R166" s="14">
        <v>1</v>
      </c>
      <c r="S166" s="14" t="str">
        <f>_xlfn.IFS(Augmented_Data!U166-Augmented_Data!K166=Augmented_Data!$R166,"Intime",Augmented_Data!U166-Augmented_Data!K166&lt;Augmented_Data!R166,"Before Time",Augmented_Data!U166-Augmented_Data!K166&gt;Augmented_Data!R166,"Late")</f>
        <v>Late</v>
      </c>
      <c r="T166" s="14">
        <v>48</v>
      </c>
      <c r="U166" s="15">
        <v>45192</v>
      </c>
      <c r="V166" s="14">
        <f>DATEDIF(Augmented_Data!$K166,Augmented_Data!$U166,"D")</f>
        <v>7</v>
      </c>
      <c r="W166" s="14" t="s">
        <v>1715</v>
      </c>
      <c r="X166" s="14">
        <f>Augmented_Data!$Z166-Augmented_Data!$AA166</f>
        <v>83.405999999999949</v>
      </c>
      <c r="Y166" s="14">
        <f>Augmented_Data!$N166*Augmented_Data!$O166</f>
        <v>369.03</v>
      </c>
      <c r="Z166" s="14">
        <f>Augmented_Data!$Y166+Augmented_Data!$T166</f>
        <v>417.03</v>
      </c>
      <c r="AA166" s="16">
        <f>IF(Augmented_Data!Q166="0 delivery charge",Augmented_Data!Z166-Augmented_Data!T166,Augmented_Data!Z166*(1-Augmented_Data!Q166))</f>
        <v>333.62400000000002</v>
      </c>
    </row>
    <row r="167" spans="1:27" x14ac:dyDescent="0.3">
      <c r="A167" s="11" t="s">
        <v>31</v>
      </c>
      <c r="B167" s="11" t="str">
        <f>_xlfn.CONCAT(Augmented_Data!$C167," ",Augmented_Data!$D167)</f>
        <v>Amy Reid</v>
      </c>
      <c r="C167" s="11" t="s">
        <v>131</v>
      </c>
      <c r="D167" s="11" t="s">
        <v>213</v>
      </c>
      <c r="E167" s="11">
        <v>44</v>
      </c>
      <c r="F167" s="11" t="s">
        <v>289</v>
      </c>
      <c r="G167" s="11" t="s">
        <v>296</v>
      </c>
      <c r="H167" s="11" t="s">
        <v>312</v>
      </c>
      <c r="I167" s="11" t="s">
        <v>412</v>
      </c>
      <c r="J167" s="11" t="s">
        <v>664</v>
      </c>
      <c r="K167" s="12">
        <v>45513</v>
      </c>
      <c r="L167" s="11" t="s">
        <v>1164</v>
      </c>
      <c r="M167" s="11" t="s">
        <v>1512</v>
      </c>
      <c r="N167" s="11">
        <v>104.18</v>
      </c>
      <c r="O167" s="11">
        <v>2</v>
      </c>
      <c r="P167" s="11" t="s">
        <v>1547</v>
      </c>
      <c r="Q167" s="11" t="str">
        <f>_xlfn.IFS(Augmented_Data!$P167="FLAT8","8%",Augmented_Data!$P167="FLAT10","10%",Augmented_Data!$P167="FLAT15","15%",Augmented_Data!$P167="FLAT20","20%",Augmented_Data!$P167="DEL0","0 delivery charge")</f>
        <v>0 delivery charge</v>
      </c>
      <c r="R167" s="11">
        <v>2</v>
      </c>
      <c r="S167" s="11" t="str">
        <f>_xlfn.IFS(Augmented_Data!U167-Augmented_Data!K167=Augmented_Data!$R167,"Intime",Augmented_Data!U167-Augmented_Data!K167&lt;Augmented_Data!R167,"Before Time",Augmented_Data!U167-Augmented_Data!K167&gt;Augmented_Data!R167,"Late")</f>
        <v>Intime</v>
      </c>
      <c r="T167" s="11">
        <v>57</v>
      </c>
      <c r="U167" s="12">
        <v>45515</v>
      </c>
      <c r="V167" s="11">
        <f>DATEDIF(Augmented_Data!$K167,Augmented_Data!$U167,"D")</f>
        <v>2</v>
      </c>
      <c r="W167" s="11" t="s">
        <v>1716</v>
      </c>
      <c r="X167" s="11">
        <f>Augmented_Data!$Z167-Augmented_Data!$AA167</f>
        <v>57</v>
      </c>
      <c r="Y167" s="11">
        <f>Augmented_Data!$N167*Augmented_Data!$O167</f>
        <v>208.36</v>
      </c>
      <c r="Z167" s="11">
        <f>Augmented_Data!$Y167+Augmented_Data!$T167</f>
        <v>265.36</v>
      </c>
      <c r="AA167" s="13">
        <f>IF(Augmented_Data!Q167="0 delivery charge",Augmented_Data!Z167-Augmented_Data!T167,Augmented_Data!Z167*(1-Augmented_Data!Q167))</f>
        <v>208.36</v>
      </c>
    </row>
    <row r="168" spans="1:27" x14ac:dyDescent="0.3">
      <c r="A168" s="14" t="s">
        <v>21</v>
      </c>
      <c r="B168" s="14" t="str">
        <f>_xlfn.CONCAT(Augmented_Data!$C168," ",Augmented_Data!$D168)</f>
        <v>John Ramirez</v>
      </c>
      <c r="C168" s="14" t="s">
        <v>121</v>
      </c>
      <c r="D168" s="14" t="s">
        <v>203</v>
      </c>
      <c r="E168" s="14">
        <v>28</v>
      </c>
      <c r="F168" s="14" t="s">
        <v>290</v>
      </c>
      <c r="G168" s="14" t="s">
        <v>294</v>
      </c>
      <c r="H168" s="14" t="s">
        <v>302</v>
      </c>
      <c r="I168" s="14" t="s">
        <v>402</v>
      </c>
      <c r="J168" s="14" t="s">
        <v>854</v>
      </c>
      <c r="K168" s="15">
        <v>45550</v>
      </c>
      <c r="L168" s="14" t="s">
        <v>1354</v>
      </c>
      <c r="M168" s="14" t="s">
        <v>1510</v>
      </c>
      <c r="N168" s="14">
        <v>220.27</v>
      </c>
      <c r="O168" s="14">
        <v>2</v>
      </c>
      <c r="P168" s="14" t="s">
        <v>1550</v>
      </c>
      <c r="Q168" s="14" t="str">
        <f>_xlfn.IFS(Augmented_Data!$P168="FLAT8","8%",Augmented_Data!$P168="FLAT10","10%",Augmented_Data!$P168="FLAT15","15%",Augmented_Data!$P168="FLAT20","20%",Augmented_Data!$P168="DEL0","0 delivery charge")</f>
        <v>20%</v>
      </c>
      <c r="R168" s="14">
        <v>1</v>
      </c>
      <c r="S168" s="14" t="str">
        <f>_xlfn.IFS(Augmented_Data!U168-Augmented_Data!K168=Augmented_Data!$R168,"Intime",Augmented_Data!U168-Augmented_Data!K168&lt;Augmented_Data!R168,"Before Time",Augmented_Data!U168-Augmented_Data!K168&gt;Augmented_Data!R168,"Late")</f>
        <v>Late</v>
      </c>
      <c r="T168" s="14">
        <v>42</v>
      </c>
      <c r="U168" s="15">
        <v>45552</v>
      </c>
      <c r="V168" s="14">
        <f>DATEDIF(Augmented_Data!$K168,Augmented_Data!$U168,"D")</f>
        <v>2</v>
      </c>
      <c r="W168" s="14" t="s">
        <v>1905</v>
      </c>
      <c r="X168" s="14">
        <f>Augmented_Data!$Z168-Augmented_Data!$AA168</f>
        <v>96.507999999999981</v>
      </c>
      <c r="Y168" s="14">
        <f>Augmented_Data!$N168*Augmented_Data!$O168</f>
        <v>440.54</v>
      </c>
      <c r="Z168" s="14">
        <f>Augmented_Data!$Y168+Augmented_Data!$T168</f>
        <v>482.54</v>
      </c>
      <c r="AA168" s="16">
        <f>IF(Augmented_Data!Q168="0 delivery charge",Augmented_Data!Z168-Augmented_Data!T168,Augmented_Data!Z168*(1-Augmented_Data!Q168))</f>
        <v>386.03200000000004</v>
      </c>
    </row>
    <row r="169" spans="1:27" x14ac:dyDescent="0.3">
      <c r="A169" s="11" t="s">
        <v>73</v>
      </c>
      <c r="B169" s="11" t="str">
        <f>_xlfn.CONCAT(Augmented_Data!$C169," ",Augmented_Data!$D169)</f>
        <v>Brandon Cruz</v>
      </c>
      <c r="C169" s="11" t="s">
        <v>166</v>
      </c>
      <c r="D169" s="11" t="s">
        <v>251</v>
      </c>
      <c r="E169" s="11">
        <v>32</v>
      </c>
      <c r="F169" s="11" t="s">
        <v>290</v>
      </c>
      <c r="G169" s="11" t="s">
        <v>296</v>
      </c>
      <c r="H169" s="11" t="s">
        <v>354</v>
      </c>
      <c r="I169" s="11" t="s">
        <v>454</v>
      </c>
      <c r="J169" s="11" t="s">
        <v>666</v>
      </c>
      <c r="K169" s="12">
        <v>45125</v>
      </c>
      <c r="L169" s="11" t="s">
        <v>1166</v>
      </c>
      <c r="M169" s="11" t="s">
        <v>1539</v>
      </c>
      <c r="N169" s="11">
        <v>235.63</v>
      </c>
      <c r="O169" s="11">
        <v>5</v>
      </c>
      <c r="P169" s="11" t="s">
        <v>2047</v>
      </c>
      <c r="Q169" s="11" t="str">
        <f>_xlfn.IFS(Augmented_Data!$P169="FLAT8","8%",Augmented_Data!$P169="FLAT10","10%",Augmented_Data!$P169="FLAT15","15%",Augmented_Data!$P169="FLAT20","20%",Augmented_Data!$P169="DEL0","0 delivery charge")</f>
        <v>8%</v>
      </c>
      <c r="R169" s="11">
        <v>4</v>
      </c>
      <c r="S169" s="11" t="str">
        <f>_xlfn.IFS(Augmented_Data!U169-Augmented_Data!K169=Augmented_Data!$R169,"Intime",Augmented_Data!U169-Augmented_Data!K169&lt;Augmented_Data!R169,"Before Time",Augmented_Data!U169-Augmented_Data!K169&gt;Augmented_Data!R169,"Late")</f>
        <v>Intime</v>
      </c>
      <c r="T169" s="11">
        <v>52</v>
      </c>
      <c r="U169" s="12">
        <v>45129</v>
      </c>
      <c r="V169" s="11">
        <f>DATEDIF(Augmented_Data!$K169,Augmented_Data!$U169,"D")</f>
        <v>4</v>
      </c>
      <c r="W169" s="11" t="s">
        <v>1718</v>
      </c>
      <c r="X169" s="11">
        <f>Augmented_Data!$Z169-Augmented_Data!$AA169</f>
        <v>98.412000000000035</v>
      </c>
      <c r="Y169" s="11">
        <f>Augmented_Data!$N169*Augmented_Data!$O169</f>
        <v>1178.1500000000001</v>
      </c>
      <c r="Z169" s="11">
        <f>Augmented_Data!$Y169+Augmented_Data!$T169</f>
        <v>1230.1500000000001</v>
      </c>
      <c r="AA169" s="13">
        <f>IF(Augmented_Data!Q169="0 delivery charge",Augmented_Data!Z169-Augmented_Data!T169,Augmented_Data!Z169*(1-Augmented_Data!Q169))</f>
        <v>1131.7380000000001</v>
      </c>
    </row>
    <row r="170" spans="1:27" x14ac:dyDescent="0.3">
      <c r="A170" s="14" t="s">
        <v>80</v>
      </c>
      <c r="B170" s="14" t="str">
        <f>_xlfn.CONCAT(Augmented_Data!$C170," ",Augmented_Data!$D170)</f>
        <v>Amy Ellis</v>
      </c>
      <c r="C170" s="14" t="s">
        <v>131</v>
      </c>
      <c r="D170" s="14" t="s">
        <v>257</v>
      </c>
      <c r="E170" s="14">
        <v>44</v>
      </c>
      <c r="F170" s="14" t="s">
        <v>290</v>
      </c>
      <c r="G170" s="14" t="s">
        <v>296</v>
      </c>
      <c r="H170" s="14" t="s">
        <v>361</v>
      </c>
      <c r="I170" s="14" t="s">
        <v>461</v>
      </c>
      <c r="J170" s="14" t="s">
        <v>667</v>
      </c>
      <c r="K170" s="15">
        <v>45186</v>
      </c>
      <c r="L170" s="14" t="s">
        <v>1167</v>
      </c>
      <c r="M170" s="14" t="s">
        <v>1498</v>
      </c>
      <c r="N170" s="14">
        <v>166.28</v>
      </c>
      <c r="O170" s="14">
        <v>4</v>
      </c>
      <c r="P170" s="14" t="s">
        <v>1550</v>
      </c>
      <c r="Q170" s="14" t="str">
        <f>_xlfn.IFS(Augmented_Data!$P170="FLAT8","8%",Augmented_Data!$P170="FLAT10","10%",Augmented_Data!$P170="FLAT15","15%",Augmented_Data!$P170="FLAT20","20%",Augmented_Data!$P170="DEL0","0 delivery charge")</f>
        <v>20%</v>
      </c>
      <c r="R170" s="14">
        <v>6</v>
      </c>
      <c r="S170" s="14" t="str">
        <f>_xlfn.IFS(Augmented_Data!U170-Augmented_Data!K170=Augmented_Data!$R170,"Intime",Augmented_Data!U170-Augmented_Data!K170&lt;Augmented_Data!R170,"Before Time",Augmented_Data!U170-Augmented_Data!K170&gt;Augmented_Data!R170,"Late")</f>
        <v>Late</v>
      </c>
      <c r="T170" s="14">
        <v>36</v>
      </c>
      <c r="U170" s="15">
        <v>45193</v>
      </c>
      <c r="V170" s="14">
        <f>DATEDIF(Augmented_Data!$K170,Augmented_Data!$U170,"D")</f>
        <v>7</v>
      </c>
      <c r="W170" s="14" t="s">
        <v>1719</v>
      </c>
      <c r="X170" s="14">
        <f>Augmented_Data!$Z170-Augmented_Data!$AA170</f>
        <v>140.22399999999993</v>
      </c>
      <c r="Y170" s="14">
        <f>Augmented_Data!$N170*Augmented_Data!$O170</f>
        <v>665.12</v>
      </c>
      <c r="Z170" s="14">
        <f>Augmented_Data!$Y170+Augmented_Data!$T170</f>
        <v>701.12</v>
      </c>
      <c r="AA170" s="16">
        <f>IF(Augmented_Data!Q170="0 delivery charge",Augmented_Data!Z170-Augmented_Data!T170,Augmented_Data!Z170*(1-Augmented_Data!Q170))</f>
        <v>560.89600000000007</v>
      </c>
    </row>
    <row r="171" spans="1:27" x14ac:dyDescent="0.3">
      <c r="A171" s="11" t="s">
        <v>29</v>
      </c>
      <c r="B171" s="11" t="str">
        <f>_xlfn.CONCAT(Augmented_Data!$C171," ",Augmented_Data!$D171)</f>
        <v>Joseph Stewart</v>
      </c>
      <c r="C171" s="11" t="s">
        <v>129</v>
      </c>
      <c r="D171" s="11" t="s">
        <v>211</v>
      </c>
      <c r="E171" s="11">
        <v>30</v>
      </c>
      <c r="F171" s="11" t="s">
        <v>289</v>
      </c>
      <c r="G171" s="11" t="s">
        <v>292</v>
      </c>
      <c r="H171" s="11" t="s">
        <v>310</v>
      </c>
      <c r="I171" s="11" t="s">
        <v>410</v>
      </c>
      <c r="J171" s="11" t="s">
        <v>668</v>
      </c>
      <c r="K171" s="12">
        <v>45120</v>
      </c>
      <c r="L171" s="11" t="s">
        <v>1168</v>
      </c>
      <c r="M171" s="11" t="s">
        <v>1526</v>
      </c>
      <c r="N171" s="11">
        <v>405</v>
      </c>
      <c r="O171" s="11">
        <v>5</v>
      </c>
      <c r="P171" s="11" t="s">
        <v>1549</v>
      </c>
      <c r="Q171" s="11" t="str">
        <f>_xlfn.IFS(Augmented_Data!$P171="FLAT8","8%",Augmented_Data!$P171="FLAT10","10%",Augmented_Data!$P171="FLAT15","15%",Augmented_Data!$P171="FLAT20","20%",Augmented_Data!$P171="DEL0","0 delivery charge")</f>
        <v>10%</v>
      </c>
      <c r="R171" s="11">
        <v>6</v>
      </c>
      <c r="S171" s="11" t="str">
        <f>_xlfn.IFS(Augmented_Data!U171-Augmented_Data!K171=Augmented_Data!$R171,"Intime",Augmented_Data!U171-Augmented_Data!K171&lt;Augmented_Data!R171,"Before Time",Augmented_Data!U171-Augmented_Data!K171&gt;Augmented_Data!R171,"Late")</f>
        <v>Late</v>
      </c>
      <c r="T171" s="11">
        <v>36</v>
      </c>
      <c r="U171" s="12">
        <v>45127</v>
      </c>
      <c r="V171" s="11">
        <f>DATEDIF(Augmented_Data!$K171,Augmented_Data!$U171,"D")</f>
        <v>7</v>
      </c>
      <c r="W171" s="11" t="s">
        <v>1720</v>
      </c>
      <c r="X171" s="11">
        <f>Augmented_Data!$Z171-Augmented_Data!$AA171</f>
        <v>206.09999999999991</v>
      </c>
      <c r="Y171" s="11">
        <f>Augmented_Data!$N171*Augmented_Data!$O171</f>
        <v>2025</v>
      </c>
      <c r="Z171" s="11">
        <f>Augmented_Data!$Y171+Augmented_Data!$T171</f>
        <v>2061</v>
      </c>
      <c r="AA171" s="13">
        <f>IF(Augmented_Data!Q171="0 delivery charge",Augmented_Data!Z171-Augmented_Data!T171,Augmented_Data!Z171*(1-Augmented_Data!Q171))</f>
        <v>1854.9</v>
      </c>
    </row>
    <row r="172" spans="1:27" x14ac:dyDescent="0.3">
      <c r="A172" s="14" t="s">
        <v>33</v>
      </c>
      <c r="B172" s="14" t="str">
        <f>_xlfn.CONCAT(Augmented_Data!$C172," ",Augmented_Data!$D172)</f>
        <v>Erin Miller</v>
      </c>
      <c r="C172" s="14" t="s">
        <v>133</v>
      </c>
      <c r="D172" s="14" t="s">
        <v>215</v>
      </c>
      <c r="E172" s="14">
        <v>46</v>
      </c>
      <c r="F172" s="14" t="s">
        <v>288</v>
      </c>
      <c r="G172" s="14" t="s">
        <v>297</v>
      </c>
      <c r="H172" s="14" t="s">
        <v>314</v>
      </c>
      <c r="I172" s="14" t="s">
        <v>414</v>
      </c>
      <c r="J172" s="14" t="s">
        <v>669</v>
      </c>
      <c r="K172" s="15">
        <v>45591</v>
      </c>
      <c r="L172" s="14" t="s">
        <v>1169</v>
      </c>
      <c r="M172" s="14" t="s">
        <v>1507</v>
      </c>
      <c r="N172" s="14">
        <v>257.06</v>
      </c>
      <c r="O172" s="14">
        <v>2</v>
      </c>
      <c r="P172" s="14" t="s">
        <v>1548</v>
      </c>
      <c r="Q172" s="14" t="str">
        <f>_xlfn.IFS(Augmented_Data!$P172="FLAT8","8%",Augmented_Data!$P172="FLAT10","10%",Augmented_Data!$P172="FLAT15","15%",Augmented_Data!$P172="FLAT20","20%",Augmented_Data!$P172="DEL0","0 delivery charge")</f>
        <v>15%</v>
      </c>
      <c r="R172" s="14">
        <v>7</v>
      </c>
      <c r="S172" s="14" t="str">
        <f>_xlfn.IFS(Augmented_Data!U172-Augmented_Data!K172=Augmented_Data!$R172,"Intime",Augmented_Data!U172-Augmented_Data!K172&lt;Augmented_Data!R172,"Before Time",Augmented_Data!U172-Augmented_Data!K172&gt;Augmented_Data!R172,"Late")</f>
        <v>Before Time</v>
      </c>
      <c r="T172" s="14">
        <v>59</v>
      </c>
      <c r="U172" s="15">
        <v>45592</v>
      </c>
      <c r="V172" s="14">
        <f>DATEDIF(Augmented_Data!$K172,Augmented_Data!$U172,"D")</f>
        <v>1</v>
      </c>
      <c r="W172" s="14" t="s">
        <v>1721</v>
      </c>
      <c r="X172" s="14">
        <f>Augmented_Data!$Z172-Augmented_Data!$AA172</f>
        <v>85.968000000000018</v>
      </c>
      <c r="Y172" s="14">
        <f>Augmented_Data!$N172*Augmented_Data!$O172</f>
        <v>514.12</v>
      </c>
      <c r="Z172" s="14">
        <f>Augmented_Data!$Y172+Augmented_Data!$T172</f>
        <v>573.12</v>
      </c>
      <c r="AA172" s="16">
        <f>IF(Augmented_Data!Q172="0 delivery charge",Augmented_Data!Z172-Augmented_Data!T172,Augmented_Data!Z172*(1-Augmented_Data!Q172))</f>
        <v>487.15199999999999</v>
      </c>
    </row>
    <row r="173" spans="1:27" x14ac:dyDescent="0.3">
      <c r="A173" s="11" t="s">
        <v>47</v>
      </c>
      <c r="B173" s="11" t="str">
        <f>_xlfn.CONCAT(Augmented_Data!$C173," ",Augmented_Data!$D173)</f>
        <v>Rachael Robinson</v>
      </c>
      <c r="C173" s="11" t="s">
        <v>145</v>
      </c>
      <c r="D173" s="11" t="s">
        <v>228</v>
      </c>
      <c r="E173" s="11">
        <v>24</v>
      </c>
      <c r="F173" s="11" t="s">
        <v>290</v>
      </c>
      <c r="G173" s="11" t="s">
        <v>298</v>
      </c>
      <c r="H173" s="11" t="s">
        <v>328</v>
      </c>
      <c r="I173" s="11" t="s">
        <v>428</v>
      </c>
      <c r="J173" s="11" t="s">
        <v>652</v>
      </c>
      <c r="K173" s="12">
        <v>45525</v>
      </c>
      <c r="L173" s="11" t="s">
        <v>1152</v>
      </c>
      <c r="M173" s="11" t="s">
        <v>1500</v>
      </c>
      <c r="N173" s="11">
        <v>44.5</v>
      </c>
      <c r="O173" s="11">
        <v>4</v>
      </c>
      <c r="P173" s="11" t="s">
        <v>2047</v>
      </c>
      <c r="Q173" s="11" t="str">
        <f>_xlfn.IFS(Augmented_Data!$P173="FLAT8","8%",Augmented_Data!$P173="FLAT10","10%",Augmented_Data!$P173="FLAT15","15%",Augmented_Data!$P173="FLAT20","20%",Augmented_Data!$P173="DEL0","0 delivery charge")</f>
        <v>8%</v>
      </c>
      <c r="R173" s="11">
        <v>5</v>
      </c>
      <c r="S173" s="11" t="str">
        <f>_xlfn.IFS(Augmented_Data!U173-Augmented_Data!K173=Augmented_Data!$R173,"Intime",Augmented_Data!U173-Augmented_Data!K173&lt;Augmented_Data!R173,"Before Time",Augmented_Data!U173-Augmented_Data!K173&gt;Augmented_Data!R173,"Late")</f>
        <v>Late</v>
      </c>
      <c r="T173" s="11">
        <v>40</v>
      </c>
      <c r="U173" s="12">
        <v>45531</v>
      </c>
      <c r="V173" s="11">
        <f>DATEDIF(Augmented_Data!$K173,Augmented_Data!$U173,"D")</f>
        <v>6</v>
      </c>
      <c r="W173" s="11" t="s">
        <v>1704</v>
      </c>
      <c r="X173" s="11">
        <f>Augmented_Data!$Z173-Augmented_Data!$AA173</f>
        <v>17.439999999999998</v>
      </c>
      <c r="Y173" s="11">
        <f>Augmented_Data!$N173*Augmented_Data!$O173</f>
        <v>178</v>
      </c>
      <c r="Z173" s="11">
        <f>Augmented_Data!$Y173+Augmented_Data!$T173</f>
        <v>218</v>
      </c>
      <c r="AA173" s="13">
        <f>IF(Augmented_Data!Q173="0 delivery charge",Augmented_Data!Z173-Augmented_Data!T173,Augmented_Data!Z173*(1-Augmented_Data!Q173))</f>
        <v>200.56</v>
      </c>
    </row>
    <row r="174" spans="1:27" x14ac:dyDescent="0.3">
      <c r="A174" s="14" t="s">
        <v>80</v>
      </c>
      <c r="B174" s="14" t="str">
        <f>_xlfn.CONCAT(Augmented_Data!$C174," ",Augmented_Data!$D174)</f>
        <v>Amy Ellis</v>
      </c>
      <c r="C174" s="14" t="s">
        <v>131</v>
      </c>
      <c r="D174" s="14" t="s">
        <v>257</v>
      </c>
      <c r="E174" s="14">
        <v>44</v>
      </c>
      <c r="F174" s="14" t="s">
        <v>290</v>
      </c>
      <c r="G174" s="14" t="s">
        <v>296</v>
      </c>
      <c r="H174" s="14" t="s">
        <v>361</v>
      </c>
      <c r="I174" s="14" t="s">
        <v>461</v>
      </c>
      <c r="J174" s="14" t="s">
        <v>671</v>
      </c>
      <c r="K174" s="15">
        <v>45561</v>
      </c>
      <c r="L174" s="14" t="s">
        <v>1171</v>
      </c>
      <c r="M174" s="14" t="s">
        <v>1500</v>
      </c>
      <c r="N174" s="14">
        <v>44.5</v>
      </c>
      <c r="O174" s="14">
        <v>2</v>
      </c>
      <c r="P174" s="14" t="s">
        <v>1548</v>
      </c>
      <c r="Q174" s="14" t="str">
        <f>_xlfn.IFS(Augmented_Data!$P174="FLAT8","8%",Augmented_Data!$P174="FLAT10","10%",Augmented_Data!$P174="FLAT15","15%",Augmented_Data!$P174="FLAT20","20%",Augmented_Data!$P174="DEL0","0 delivery charge")</f>
        <v>15%</v>
      </c>
      <c r="R174" s="14">
        <v>5</v>
      </c>
      <c r="S174" s="14" t="str">
        <f>_xlfn.IFS(Augmented_Data!U174-Augmented_Data!K174=Augmented_Data!$R174,"Intime",Augmented_Data!U174-Augmented_Data!K174&lt;Augmented_Data!R174,"Before Time",Augmented_Data!U174-Augmented_Data!K174&gt;Augmented_Data!R174,"Late")</f>
        <v>Before Time</v>
      </c>
      <c r="T174" s="14">
        <v>52</v>
      </c>
      <c r="U174" s="15">
        <v>45563</v>
      </c>
      <c r="V174" s="14">
        <f>DATEDIF(Augmented_Data!$K174,Augmented_Data!$U174,"D")</f>
        <v>2</v>
      </c>
      <c r="W174" s="14" t="s">
        <v>1723</v>
      </c>
      <c r="X174" s="14">
        <f>Augmented_Data!$Z174-Augmented_Data!$AA174</f>
        <v>21.150000000000006</v>
      </c>
      <c r="Y174" s="14">
        <f>Augmented_Data!$N174*Augmented_Data!$O174</f>
        <v>89</v>
      </c>
      <c r="Z174" s="14">
        <f>Augmented_Data!$Y174+Augmented_Data!$T174</f>
        <v>141</v>
      </c>
      <c r="AA174" s="16">
        <f>IF(Augmented_Data!Q174="0 delivery charge",Augmented_Data!Z174-Augmented_Data!T174,Augmented_Data!Z174*(1-Augmented_Data!Q174))</f>
        <v>119.85</v>
      </c>
    </row>
    <row r="175" spans="1:27" x14ac:dyDescent="0.3">
      <c r="A175" s="11" t="s">
        <v>79</v>
      </c>
      <c r="B175" s="11" t="str">
        <f>_xlfn.CONCAT(Augmented_Data!$C175," ",Augmented_Data!$D175)</f>
        <v>Joseph Gaines</v>
      </c>
      <c r="C175" s="11" t="s">
        <v>129</v>
      </c>
      <c r="D175" s="11" t="s">
        <v>256</v>
      </c>
      <c r="E175" s="11">
        <v>47</v>
      </c>
      <c r="F175" s="11" t="s">
        <v>290</v>
      </c>
      <c r="G175" s="11" t="s">
        <v>295</v>
      </c>
      <c r="H175" s="11" t="s">
        <v>360</v>
      </c>
      <c r="I175" s="11" t="s">
        <v>460</v>
      </c>
      <c r="J175" s="11" t="s">
        <v>951</v>
      </c>
      <c r="K175" s="12">
        <v>45051</v>
      </c>
      <c r="L175" s="11" t="s">
        <v>1450</v>
      </c>
      <c r="M175" s="11" t="s">
        <v>1523</v>
      </c>
      <c r="N175" s="11">
        <v>129.75</v>
      </c>
      <c r="O175" s="11">
        <v>5</v>
      </c>
      <c r="P175" s="11" t="s">
        <v>1547</v>
      </c>
      <c r="Q175" s="11" t="str">
        <f>_xlfn.IFS(Augmented_Data!$P175="FLAT8","8%",Augmented_Data!$P175="FLAT10","10%",Augmented_Data!$P175="FLAT15","15%",Augmented_Data!$P175="FLAT20","20%",Augmented_Data!$P175="DEL0","0 delivery charge")</f>
        <v>0 delivery charge</v>
      </c>
      <c r="R175" s="11">
        <v>3</v>
      </c>
      <c r="S175" s="11" t="str">
        <f>_xlfn.IFS(Augmented_Data!U175-Augmented_Data!K175=Augmented_Data!$R175,"Intime",Augmented_Data!U175-Augmented_Data!K175&lt;Augmented_Data!R175,"Before Time",Augmented_Data!U175-Augmented_Data!K175&gt;Augmented_Data!R175,"Late")</f>
        <v>Late</v>
      </c>
      <c r="T175" s="11">
        <v>43</v>
      </c>
      <c r="U175" s="12">
        <v>45057</v>
      </c>
      <c r="V175" s="11">
        <f>DATEDIF(Augmented_Data!$K175,Augmented_Data!$U175,"D")</f>
        <v>6</v>
      </c>
      <c r="W175" s="11" t="s">
        <v>1999</v>
      </c>
      <c r="X175" s="11">
        <f>Augmented_Data!$Z175-Augmented_Data!$AA175</f>
        <v>43</v>
      </c>
      <c r="Y175" s="11">
        <f>Augmented_Data!$N175*Augmented_Data!$O175</f>
        <v>648.75</v>
      </c>
      <c r="Z175" s="11">
        <f>Augmented_Data!$Y175+Augmented_Data!$T175</f>
        <v>691.75</v>
      </c>
      <c r="AA175" s="13">
        <f>IF(Augmented_Data!Q175="0 delivery charge",Augmented_Data!Z175-Augmented_Data!T175,Augmented_Data!Z175*(1-Augmented_Data!Q175))</f>
        <v>648.75</v>
      </c>
    </row>
    <row r="176" spans="1:27" x14ac:dyDescent="0.3">
      <c r="A176" s="14" t="s">
        <v>82</v>
      </c>
      <c r="B176" s="14" t="str">
        <f>_xlfn.CONCAT(Augmented_Data!$C176," ",Augmented_Data!$D176)</f>
        <v>Christy Chang</v>
      </c>
      <c r="C176" s="14" t="s">
        <v>172</v>
      </c>
      <c r="D176" s="14" t="s">
        <v>259</v>
      </c>
      <c r="E176" s="14">
        <v>38</v>
      </c>
      <c r="F176" s="14" t="s">
        <v>289</v>
      </c>
      <c r="G176" s="14" t="s">
        <v>298</v>
      </c>
      <c r="H176" s="14" t="s">
        <v>363</v>
      </c>
      <c r="I176" s="14" t="s">
        <v>463</v>
      </c>
      <c r="J176" s="14" t="s">
        <v>673</v>
      </c>
      <c r="K176" s="15">
        <v>45318</v>
      </c>
      <c r="L176" s="14" t="s">
        <v>1173</v>
      </c>
      <c r="M176" s="14" t="s">
        <v>1520</v>
      </c>
      <c r="N176" s="14">
        <v>62.42</v>
      </c>
      <c r="O176" s="14">
        <v>4</v>
      </c>
      <c r="P176" s="14" t="s">
        <v>1550</v>
      </c>
      <c r="Q176" s="14" t="str">
        <f>_xlfn.IFS(Augmented_Data!$P176="FLAT8","8%",Augmented_Data!$P176="FLAT10","10%",Augmented_Data!$P176="FLAT15","15%",Augmented_Data!$P176="FLAT20","20%",Augmented_Data!$P176="DEL0","0 delivery charge")</f>
        <v>20%</v>
      </c>
      <c r="R176" s="14">
        <v>4</v>
      </c>
      <c r="S176" s="14" t="str">
        <f>_xlfn.IFS(Augmented_Data!U176-Augmented_Data!K176=Augmented_Data!$R176,"Intime",Augmented_Data!U176-Augmented_Data!K176&lt;Augmented_Data!R176,"Before Time",Augmented_Data!U176-Augmented_Data!K176&gt;Augmented_Data!R176,"Late")</f>
        <v>Before Time</v>
      </c>
      <c r="T176" s="14">
        <v>37</v>
      </c>
      <c r="U176" s="15">
        <v>45321</v>
      </c>
      <c r="V176" s="14">
        <f>DATEDIF(Augmented_Data!$K176,Augmented_Data!$U176,"D")</f>
        <v>3</v>
      </c>
      <c r="W176" s="14" t="s">
        <v>1725</v>
      </c>
      <c r="X176" s="14">
        <f>Augmented_Data!$Z176-Augmented_Data!$AA176</f>
        <v>57.335999999999984</v>
      </c>
      <c r="Y176" s="14">
        <f>Augmented_Data!$N176*Augmented_Data!$O176</f>
        <v>249.68</v>
      </c>
      <c r="Z176" s="14">
        <f>Augmented_Data!$Y176+Augmented_Data!$T176</f>
        <v>286.68</v>
      </c>
      <c r="AA176" s="16">
        <f>IF(Augmented_Data!Q176="0 delivery charge",Augmented_Data!Z176-Augmented_Data!T176,Augmented_Data!Z176*(1-Augmented_Data!Q176))</f>
        <v>229.34400000000002</v>
      </c>
    </row>
    <row r="177" spans="1:27" x14ac:dyDescent="0.3">
      <c r="A177" s="11" t="s">
        <v>88</v>
      </c>
      <c r="B177" s="11" t="str">
        <f>_xlfn.CONCAT(Augmented_Data!$C177," ",Augmented_Data!$D177)</f>
        <v>Lisa Miller</v>
      </c>
      <c r="C177" s="11" t="s">
        <v>178</v>
      </c>
      <c r="D177" s="11" t="s">
        <v>215</v>
      </c>
      <c r="E177" s="11">
        <v>70</v>
      </c>
      <c r="F177" s="11" t="s">
        <v>289</v>
      </c>
      <c r="G177" s="11" t="s">
        <v>296</v>
      </c>
      <c r="H177" s="11" t="s">
        <v>369</v>
      </c>
      <c r="I177" s="11" t="s">
        <v>469</v>
      </c>
      <c r="J177" s="11" t="s">
        <v>674</v>
      </c>
      <c r="K177" s="12">
        <v>45508</v>
      </c>
      <c r="L177" s="11" t="s">
        <v>1174</v>
      </c>
      <c r="M177" s="11" t="s">
        <v>1519</v>
      </c>
      <c r="N177" s="11">
        <v>421.7</v>
      </c>
      <c r="O177" s="11">
        <v>4</v>
      </c>
      <c r="P177" s="11" t="s">
        <v>2047</v>
      </c>
      <c r="Q177" s="11" t="str">
        <f>_xlfn.IFS(Augmented_Data!$P177="FLAT8","8%",Augmented_Data!$P177="FLAT10","10%",Augmented_Data!$P177="FLAT15","15%",Augmented_Data!$P177="FLAT20","20%",Augmented_Data!$P177="DEL0","0 delivery charge")</f>
        <v>8%</v>
      </c>
      <c r="R177" s="11">
        <v>7</v>
      </c>
      <c r="S177" s="11" t="str">
        <f>_xlfn.IFS(Augmented_Data!U177-Augmented_Data!K177=Augmented_Data!$R177,"Intime",Augmented_Data!U177-Augmented_Data!K177&lt;Augmented_Data!R177,"Before Time",Augmented_Data!U177-Augmented_Data!K177&gt;Augmented_Data!R177,"Late")</f>
        <v>Before Time</v>
      </c>
      <c r="T177" s="11">
        <v>69</v>
      </c>
      <c r="U177" s="12">
        <v>45514</v>
      </c>
      <c r="V177" s="11">
        <f>DATEDIF(Augmented_Data!$K177,Augmented_Data!$U177,"D")</f>
        <v>6</v>
      </c>
      <c r="W177" s="11" t="s">
        <v>1726</v>
      </c>
      <c r="X177" s="11">
        <f>Augmented_Data!$Z177-Augmented_Data!$AA177</f>
        <v>140.46399999999994</v>
      </c>
      <c r="Y177" s="11">
        <f>Augmented_Data!$N177*Augmented_Data!$O177</f>
        <v>1686.8</v>
      </c>
      <c r="Z177" s="11">
        <f>Augmented_Data!$Y177+Augmented_Data!$T177</f>
        <v>1755.8</v>
      </c>
      <c r="AA177" s="13">
        <f>IF(Augmented_Data!Q177="0 delivery charge",Augmented_Data!Z177-Augmented_Data!T177,Augmented_Data!Z177*(1-Augmented_Data!Q177))</f>
        <v>1615.336</v>
      </c>
    </row>
    <row r="178" spans="1:27" x14ac:dyDescent="0.3">
      <c r="A178" s="14" t="s">
        <v>30</v>
      </c>
      <c r="B178" s="14" t="str">
        <f>_xlfn.CONCAT(Augmented_Data!$C178," ",Augmented_Data!$D178)</f>
        <v>Kara Brennan</v>
      </c>
      <c r="C178" s="14" t="s">
        <v>130</v>
      </c>
      <c r="D178" s="14" t="s">
        <v>212</v>
      </c>
      <c r="E178" s="14">
        <v>25</v>
      </c>
      <c r="F178" s="14" t="s">
        <v>290</v>
      </c>
      <c r="G178" s="14" t="s">
        <v>294</v>
      </c>
      <c r="H178" s="14" t="s">
        <v>311</v>
      </c>
      <c r="I178" s="14" t="s">
        <v>411</v>
      </c>
      <c r="J178" s="14" t="s">
        <v>675</v>
      </c>
      <c r="K178" s="15">
        <v>45580</v>
      </c>
      <c r="L178" s="14" t="s">
        <v>1175</v>
      </c>
      <c r="M178" s="14" t="s">
        <v>1546</v>
      </c>
      <c r="N178" s="14">
        <v>33.49</v>
      </c>
      <c r="O178" s="14">
        <v>1</v>
      </c>
      <c r="P178" s="14" t="s">
        <v>1547</v>
      </c>
      <c r="Q178" s="14" t="str">
        <f>_xlfn.IFS(Augmented_Data!$P178="FLAT8","8%",Augmented_Data!$P178="FLAT10","10%",Augmented_Data!$P178="FLAT15","15%",Augmented_Data!$P178="FLAT20","20%",Augmented_Data!$P178="DEL0","0 delivery charge")</f>
        <v>0 delivery charge</v>
      </c>
      <c r="R178" s="14">
        <v>1</v>
      </c>
      <c r="S178" s="14" t="str">
        <f>_xlfn.IFS(Augmented_Data!U178-Augmented_Data!K178=Augmented_Data!$R178,"Intime",Augmented_Data!U178-Augmented_Data!K178&lt;Augmented_Data!R178,"Before Time",Augmented_Data!U178-Augmented_Data!K178&gt;Augmented_Data!R178,"Late")</f>
        <v>Late</v>
      </c>
      <c r="T178" s="14">
        <v>59</v>
      </c>
      <c r="U178" s="15">
        <v>45585</v>
      </c>
      <c r="V178" s="14">
        <f>DATEDIF(Augmented_Data!$K178,Augmented_Data!$U178,"D")</f>
        <v>5</v>
      </c>
      <c r="W178" s="14" t="s">
        <v>1727</v>
      </c>
      <c r="X178" s="14">
        <f>Augmented_Data!$Z178-Augmented_Data!$AA178</f>
        <v>59</v>
      </c>
      <c r="Y178" s="14">
        <f>Augmented_Data!$N178*Augmented_Data!$O178</f>
        <v>33.49</v>
      </c>
      <c r="Z178" s="14">
        <f>Augmented_Data!$Y178+Augmented_Data!$T178</f>
        <v>92.490000000000009</v>
      </c>
      <c r="AA178" s="16">
        <f>IF(Augmented_Data!Q178="0 delivery charge",Augmented_Data!Z178-Augmented_Data!T178,Augmented_Data!Z178*(1-Augmented_Data!Q178))</f>
        <v>33.490000000000009</v>
      </c>
    </row>
    <row r="179" spans="1:27" x14ac:dyDescent="0.3">
      <c r="A179" s="11" t="s">
        <v>102</v>
      </c>
      <c r="B179" s="11" t="str">
        <f>_xlfn.CONCAT(Augmented_Data!$C179," ",Augmented_Data!$D179)</f>
        <v>Natasha Michael</v>
      </c>
      <c r="C179" s="11" t="s">
        <v>190</v>
      </c>
      <c r="D179" s="11" t="s">
        <v>276</v>
      </c>
      <c r="E179" s="11">
        <v>49</v>
      </c>
      <c r="F179" s="11" t="s">
        <v>288</v>
      </c>
      <c r="G179" s="11" t="s">
        <v>292</v>
      </c>
      <c r="H179" s="11" t="s">
        <v>383</v>
      </c>
      <c r="I179" s="11" t="s">
        <v>483</v>
      </c>
      <c r="J179" s="11" t="s">
        <v>676</v>
      </c>
      <c r="K179" s="12">
        <v>45478</v>
      </c>
      <c r="L179" s="11" t="s">
        <v>1176</v>
      </c>
      <c r="M179" s="11" t="s">
        <v>1511</v>
      </c>
      <c r="N179" s="11">
        <v>272.51</v>
      </c>
      <c r="O179" s="11">
        <v>4</v>
      </c>
      <c r="P179" s="11" t="s">
        <v>1547</v>
      </c>
      <c r="Q179" s="11" t="str">
        <f>_xlfn.IFS(Augmented_Data!$P179="FLAT8","8%",Augmented_Data!$P179="FLAT10","10%",Augmented_Data!$P179="FLAT15","15%",Augmented_Data!$P179="FLAT20","20%",Augmented_Data!$P179="DEL0","0 delivery charge")</f>
        <v>0 delivery charge</v>
      </c>
      <c r="R179" s="11">
        <v>1</v>
      </c>
      <c r="S179" s="11" t="str">
        <f>_xlfn.IFS(Augmented_Data!U179-Augmented_Data!K179=Augmented_Data!$R179,"Intime",Augmented_Data!U179-Augmented_Data!K179&lt;Augmented_Data!R179,"Before Time",Augmented_Data!U179-Augmented_Data!K179&gt;Augmented_Data!R179,"Late")</f>
        <v>Late</v>
      </c>
      <c r="T179" s="11">
        <v>51</v>
      </c>
      <c r="U179" s="12">
        <v>45480</v>
      </c>
      <c r="V179" s="11">
        <f>DATEDIF(Augmented_Data!$K179,Augmented_Data!$U179,"D")</f>
        <v>2</v>
      </c>
      <c r="W179" s="11" t="s">
        <v>1728</v>
      </c>
      <c r="X179" s="11">
        <f>Augmented_Data!$Z179-Augmented_Data!$AA179</f>
        <v>51</v>
      </c>
      <c r="Y179" s="11">
        <f>Augmented_Data!$N179*Augmented_Data!$O179</f>
        <v>1090.04</v>
      </c>
      <c r="Z179" s="11">
        <f>Augmented_Data!$Y179+Augmented_Data!$T179</f>
        <v>1141.04</v>
      </c>
      <c r="AA179" s="13">
        <f>IF(Augmented_Data!Q179="0 delivery charge",Augmented_Data!Z179-Augmented_Data!T179,Augmented_Data!Z179*(1-Augmented_Data!Q179))</f>
        <v>1090.04</v>
      </c>
    </row>
    <row r="180" spans="1:27" x14ac:dyDescent="0.3">
      <c r="A180" s="14" t="s">
        <v>42</v>
      </c>
      <c r="B180" s="14" t="str">
        <f>_xlfn.CONCAT(Augmented_Data!$C180," ",Augmented_Data!$D180)</f>
        <v>Jason Nguyen</v>
      </c>
      <c r="C180" s="14" t="s">
        <v>140</v>
      </c>
      <c r="D180" s="14" t="s">
        <v>223</v>
      </c>
      <c r="E180" s="14">
        <v>51</v>
      </c>
      <c r="F180" s="14" t="s">
        <v>290</v>
      </c>
      <c r="G180" s="14" t="s">
        <v>294</v>
      </c>
      <c r="H180" s="14" t="s">
        <v>323</v>
      </c>
      <c r="I180" s="14" t="s">
        <v>423</v>
      </c>
      <c r="J180" s="14" t="s">
        <v>910</v>
      </c>
      <c r="K180" s="15">
        <v>45010</v>
      </c>
      <c r="L180" s="14" t="s">
        <v>1410</v>
      </c>
      <c r="M180" s="14" t="s">
        <v>1541</v>
      </c>
      <c r="N180" s="14">
        <v>133.62</v>
      </c>
      <c r="O180" s="14">
        <v>2</v>
      </c>
      <c r="P180" s="14" t="s">
        <v>2047</v>
      </c>
      <c r="Q180" s="14" t="str">
        <f>_xlfn.IFS(Augmented_Data!$P180="FLAT8","8%",Augmented_Data!$P180="FLAT10","10%",Augmented_Data!$P180="FLAT15","15%",Augmented_Data!$P180="FLAT20","20%",Augmented_Data!$P180="DEL0","0 delivery charge")</f>
        <v>8%</v>
      </c>
      <c r="R180" s="14">
        <v>1</v>
      </c>
      <c r="S180" s="14" t="str">
        <f>_xlfn.IFS(Augmented_Data!U180-Augmented_Data!K180=Augmented_Data!$R180,"Intime",Augmented_Data!U180-Augmented_Data!K180&lt;Augmented_Data!R180,"Before Time",Augmented_Data!U180-Augmented_Data!K180&gt;Augmented_Data!R180,"Late")</f>
        <v>Late</v>
      </c>
      <c r="T180" s="14">
        <v>48</v>
      </c>
      <c r="U180" s="15">
        <v>45015</v>
      </c>
      <c r="V180" s="14">
        <f>DATEDIF(Augmented_Data!$K180,Augmented_Data!$U180,"D")</f>
        <v>5</v>
      </c>
      <c r="W180" s="14" t="s">
        <v>1959</v>
      </c>
      <c r="X180" s="14">
        <f>Augmented_Data!$Z180-Augmented_Data!$AA180</f>
        <v>25.219200000000001</v>
      </c>
      <c r="Y180" s="14">
        <f>Augmented_Data!$N180*Augmented_Data!$O180</f>
        <v>267.24</v>
      </c>
      <c r="Z180" s="14">
        <f>Augmented_Data!$Y180+Augmented_Data!$T180</f>
        <v>315.24</v>
      </c>
      <c r="AA180" s="16">
        <f>IF(Augmented_Data!Q180="0 delivery charge",Augmented_Data!Z180-Augmented_Data!T180,Augmented_Data!Z180*(1-Augmented_Data!Q180))</f>
        <v>290.02080000000001</v>
      </c>
    </row>
    <row r="181" spans="1:27" x14ac:dyDescent="0.3">
      <c r="A181" s="11" t="s">
        <v>92</v>
      </c>
      <c r="B181" s="11" t="str">
        <f>_xlfn.CONCAT(Augmented_Data!$C181," ",Augmented_Data!$D181)</f>
        <v>Kristina Haynes</v>
      </c>
      <c r="C181" s="11" t="s">
        <v>181</v>
      </c>
      <c r="D181" s="11" t="s">
        <v>268</v>
      </c>
      <c r="E181" s="11">
        <v>27</v>
      </c>
      <c r="F181" s="11" t="s">
        <v>288</v>
      </c>
      <c r="G181" s="11" t="s">
        <v>292</v>
      </c>
      <c r="H181" s="11" t="s">
        <v>373</v>
      </c>
      <c r="I181" s="11" t="s">
        <v>473</v>
      </c>
      <c r="J181" s="11" t="s">
        <v>678</v>
      </c>
      <c r="K181" s="12">
        <v>45132</v>
      </c>
      <c r="L181" s="11" t="s">
        <v>1178</v>
      </c>
      <c r="M181" s="11" t="s">
        <v>1507</v>
      </c>
      <c r="N181" s="11">
        <v>257.06</v>
      </c>
      <c r="O181" s="11">
        <v>4</v>
      </c>
      <c r="P181" s="11" t="s">
        <v>1547</v>
      </c>
      <c r="Q181" s="11" t="str">
        <f>_xlfn.IFS(Augmented_Data!$P181="FLAT8","8%",Augmented_Data!$P181="FLAT10","10%",Augmented_Data!$P181="FLAT15","15%",Augmented_Data!$P181="FLAT20","20%",Augmented_Data!$P181="DEL0","0 delivery charge")</f>
        <v>0 delivery charge</v>
      </c>
      <c r="R181" s="11">
        <v>5</v>
      </c>
      <c r="S181" s="11" t="str">
        <f>_xlfn.IFS(Augmented_Data!U181-Augmented_Data!K181=Augmented_Data!$R181,"Intime",Augmented_Data!U181-Augmented_Data!K181&lt;Augmented_Data!R181,"Before Time",Augmented_Data!U181-Augmented_Data!K181&gt;Augmented_Data!R181,"Late")</f>
        <v>Before Time</v>
      </c>
      <c r="T181" s="11">
        <v>52</v>
      </c>
      <c r="U181" s="12">
        <v>45136</v>
      </c>
      <c r="V181" s="11">
        <f>DATEDIF(Augmented_Data!$K181,Augmented_Data!$U181,"D")</f>
        <v>4</v>
      </c>
      <c r="W181" s="11" t="s">
        <v>1730</v>
      </c>
      <c r="X181" s="11">
        <f>Augmented_Data!$Z181-Augmented_Data!$AA181</f>
        <v>52</v>
      </c>
      <c r="Y181" s="11">
        <f>Augmented_Data!$N181*Augmented_Data!$O181</f>
        <v>1028.24</v>
      </c>
      <c r="Z181" s="11">
        <f>Augmented_Data!$Y181+Augmented_Data!$T181</f>
        <v>1080.24</v>
      </c>
      <c r="AA181" s="13">
        <f>IF(Augmented_Data!Q181="0 delivery charge",Augmented_Data!Z181-Augmented_Data!T181,Augmented_Data!Z181*(1-Augmented_Data!Q181))</f>
        <v>1028.24</v>
      </c>
    </row>
    <row r="182" spans="1:27" x14ac:dyDescent="0.3">
      <c r="A182" s="14" t="s">
        <v>30</v>
      </c>
      <c r="B182" s="14" t="str">
        <f>_xlfn.CONCAT(Augmented_Data!$C182," ",Augmented_Data!$D182)</f>
        <v>Kara Brennan</v>
      </c>
      <c r="C182" s="14" t="s">
        <v>130</v>
      </c>
      <c r="D182" s="14" t="s">
        <v>212</v>
      </c>
      <c r="E182" s="14">
        <v>25</v>
      </c>
      <c r="F182" s="14" t="s">
        <v>290</v>
      </c>
      <c r="G182" s="14" t="s">
        <v>294</v>
      </c>
      <c r="H182" s="14" t="s">
        <v>311</v>
      </c>
      <c r="I182" s="14" t="s">
        <v>411</v>
      </c>
      <c r="J182" s="14" t="s">
        <v>679</v>
      </c>
      <c r="K182" s="15">
        <v>45457</v>
      </c>
      <c r="L182" s="14" t="s">
        <v>1179</v>
      </c>
      <c r="M182" s="14" t="s">
        <v>1542</v>
      </c>
      <c r="N182" s="14">
        <v>20</v>
      </c>
      <c r="O182" s="14">
        <v>5</v>
      </c>
      <c r="P182" s="14" t="s">
        <v>1548</v>
      </c>
      <c r="Q182" s="14" t="str">
        <f>_xlfn.IFS(Augmented_Data!$P182="FLAT8","8%",Augmented_Data!$P182="FLAT10","10%",Augmented_Data!$P182="FLAT15","15%",Augmented_Data!$P182="FLAT20","20%",Augmented_Data!$P182="DEL0","0 delivery charge")</f>
        <v>15%</v>
      </c>
      <c r="R182" s="14">
        <v>6</v>
      </c>
      <c r="S182" s="14" t="str">
        <f>_xlfn.IFS(Augmented_Data!U182-Augmented_Data!K182=Augmented_Data!$R182,"Intime",Augmented_Data!U182-Augmented_Data!K182&lt;Augmented_Data!R182,"Before Time",Augmented_Data!U182-Augmented_Data!K182&gt;Augmented_Data!R182,"Late")</f>
        <v>Intime</v>
      </c>
      <c r="T182" s="14">
        <v>36</v>
      </c>
      <c r="U182" s="15">
        <v>45463</v>
      </c>
      <c r="V182" s="14">
        <f>DATEDIF(Augmented_Data!$K182,Augmented_Data!$U182,"D")</f>
        <v>6</v>
      </c>
      <c r="W182" s="14" t="s">
        <v>1731</v>
      </c>
      <c r="X182" s="14">
        <f>Augmented_Data!$Z182-Augmented_Data!$AA182</f>
        <v>20.400000000000006</v>
      </c>
      <c r="Y182" s="14">
        <f>Augmented_Data!$N182*Augmented_Data!$O182</f>
        <v>100</v>
      </c>
      <c r="Z182" s="14">
        <f>Augmented_Data!$Y182+Augmented_Data!$T182</f>
        <v>136</v>
      </c>
      <c r="AA182" s="16">
        <f>IF(Augmented_Data!Q182="0 delivery charge",Augmented_Data!Z182-Augmented_Data!T182,Augmented_Data!Z182*(1-Augmented_Data!Q182))</f>
        <v>115.6</v>
      </c>
    </row>
    <row r="183" spans="1:27" x14ac:dyDescent="0.3">
      <c r="A183" s="11" t="s">
        <v>87</v>
      </c>
      <c r="B183" s="11" t="str">
        <f>_xlfn.CONCAT(Augmented_Data!$C183," ",Augmented_Data!$D183)</f>
        <v>Bruce Allen</v>
      </c>
      <c r="C183" s="11" t="s">
        <v>177</v>
      </c>
      <c r="D183" s="11" t="s">
        <v>264</v>
      </c>
      <c r="E183" s="11">
        <v>32</v>
      </c>
      <c r="F183" s="11" t="s">
        <v>289</v>
      </c>
      <c r="G183" s="11" t="s">
        <v>291</v>
      </c>
      <c r="H183" s="11" t="s">
        <v>368</v>
      </c>
      <c r="I183" s="11" t="s">
        <v>468</v>
      </c>
      <c r="J183" s="11" t="s">
        <v>680</v>
      </c>
      <c r="K183" s="12">
        <v>45343</v>
      </c>
      <c r="L183" s="11" t="s">
        <v>1180</v>
      </c>
      <c r="M183" s="11" t="s">
        <v>1539</v>
      </c>
      <c r="N183" s="11">
        <v>235.63</v>
      </c>
      <c r="O183" s="11">
        <v>3</v>
      </c>
      <c r="P183" s="11" t="s">
        <v>1549</v>
      </c>
      <c r="Q183" s="11" t="str">
        <f>_xlfn.IFS(Augmented_Data!$P183="FLAT8","8%",Augmented_Data!$P183="FLAT10","10%",Augmented_Data!$P183="FLAT15","15%",Augmented_Data!$P183="FLAT20","20%",Augmented_Data!$P183="DEL0","0 delivery charge")</f>
        <v>10%</v>
      </c>
      <c r="R183" s="11">
        <v>5</v>
      </c>
      <c r="S183" s="11" t="str">
        <f>_xlfn.IFS(Augmented_Data!U183-Augmented_Data!K183=Augmented_Data!$R183,"Intime",Augmented_Data!U183-Augmented_Data!K183&lt;Augmented_Data!R183,"Before Time",Augmented_Data!U183-Augmented_Data!K183&gt;Augmented_Data!R183,"Late")</f>
        <v>Before Time</v>
      </c>
      <c r="T183" s="11">
        <v>44</v>
      </c>
      <c r="U183" s="12">
        <v>45347</v>
      </c>
      <c r="V183" s="11">
        <f>DATEDIF(Augmented_Data!$K183,Augmented_Data!$U183,"D")</f>
        <v>4</v>
      </c>
      <c r="W183" s="11" t="s">
        <v>1732</v>
      </c>
      <c r="X183" s="11">
        <f>Augmented_Data!$Z183-Augmented_Data!$AA183</f>
        <v>75.088999999999942</v>
      </c>
      <c r="Y183" s="11">
        <f>Augmented_Data!$N183*Augmented_Data!$O183</f>
        <v>706.89</v>
      </c>
      <c r="Z183" s="11">
        <f>Augmented_Data!$Y183+Augmented_Data!$T183</f>
        <v>750.89</v>
      </c>
      <c r="AA183" s="13">
        <f>IF(Augmented_Data!Q183="0 delivery charge",Augmented_Data!Z183-Augmented_Data!T183,Augmented_Data!Z183*(1-Augmented_Data!Q183))</f>
        <v>675.80100000000004</v>
      </c>
    </row>
    <row r="184" spans="1:27" x14ac:dyDescent="0.3">
      <c r="A184" s="14" t="s">
        <v>18</v>
      </c>
      <c r="B184" s="14" t="str">
        <f>_xlfn.CONCAT(Augmented_Data!$C184," ",Augmented_Data!$D184)</f>
        <v>Anne Oconnell</v>
      </c>
      <c r="C184" s="14" t="s">
        <v>118</v>
      </c>
      <c r="D184" s="14" t="s">
        <v>201</v>
      </c>
      <c r="E184" s="14">
        <v>37</v>
      </c>
      <c r="F184" s="14" t="s">
        <v>288</v>
      </c>
      <c r="G184" s="14" t="s">
        <v>291</v>
      </c>
      <c r="H184" s="14" t="s">
        <v>299</v>
      </c>
      <c r="I184" s="14" t="s">
        <v>399</v>
      </c>
      <c r="J184" s="14" t="s">
        <v>681</v>
      </c>
      <c r="K184" s="15">
        <v>45095</v>
      </c>
      <c r="L184" s="14" t="s">
        <v>1181</v>
      </c>
      <c r="M184" s="14" t="s">
        <v>1541</v>
      </c>
      <c r="N184" s="14">
        <v>133.62</v>
      </c>
      <c r="O184" s="14">
        <v>5</v>
      </c>
      <c r="P184" s="14" t="s">
        <v>1547</v>
      </c>
      <c r="Q184" s="14" t="str">
        <f>_xlfn.IFS(Augmented_Data!$P184="FLAT8","8%",Augmented_Data!$P184="FLAT10","10%",Augmented_Data!$P184="FLAT15","15%",Augmented_Data!$P184="FLAT20","20%",Augmented_Data!$P184="DEL0","0 delivery charge")</f>
        <v>0 delivery charge</v>
      </c>
      <c r="R184" s="14">
        <v>7</v>
      </c>
      <c r="S184" s="14" t="str">
        <f>_xlfn.IFS(Augmented_Data!U184-Augmented_Data!K184=Augmented_Data!$R184,"Intime",Augmented_Data!U184-Augmented_Data!K184&lt;Augmented_Data!R184,"Before Time",Augmented_Data!U184-Augmented_Data!K184&gt;Augmented_Data!R184,"Late")</f>
        <v>Before Time</v>
      </c>
      <c r="T184" s="14">
        <v>58</v>
      </c>
      <c r="U184" s="15">
        <v>45098</v>
      </c>
      <c r="V184" s="14">
        <f>DATEDIF(Augmented_Data!$K184,Augmented_Data!$U184,"D")</f>
        <v>3</v>
      </c>
      <c r="W184" s="14" t="s">
        <v>1733</v>
      </c>
      <c r="X184" s="14">
        <f>Augmented_Data!$Z184-Augmented_Data!$AA184</f>
        <v>58</v>
      </c>
      <c r="Y184" s="14">
        <f>Augmented_Data!$N184*Augmented_Data!$O184</f>
        <v>668.1</v>
      </c>
      <c r="Z184" s="14">
        <f>Augmented_Data!$Y184+Augmented_Data!$T184</f>
        <v>726.1</v>
      </c>
      <c r="AA184" s="16">
        <f>IF(Augmented_Data!Q184="0 delivery charge",Augmented_Data!Z184-Augmented_Data!T184,Augmented_Data!Z184*(1-Augmented_Data!Q184))</f>
        <v>668.1</v>
      </c>
    </row>
    <row r="185" spans="1:27" x14ac:dyDescent="0.3">
      <c r="A185" s="11" t="s">
        <v>68</v>
      </c>
      <c r="B185" s="11" t="str">
        <f>_xlfn.CONCAT(Augmented_Data!$C185," ",Augmented_Data!$D185)</f>
        <v>Mitchell Parker</v>
      </c>
      <c r="C185" s="11" t="s">
        <v>162</v>
      </c>
      <c r="D185" s="11" t="s">
        <v>232</v>
      </c>
      <c r="E185" s="11">
        <v>39</v>
      </c>
      <c r="F185" s="11" t="s">
        <v>290</v>
      </c>
      <c r="G185" s="11" t="s">
        <v>292</v>
      </c>
      <c r="H185" s="11" t="s">
        <v>349</v>
      </c>
      <c r="I185" s="11" t="s">
        <v>449</v>
      </c>
      <c r="J185" s="11" t="s">
        <v>682</v>
      </c>
      <c r="K185" s="12">
        <v>45651</v>
      </c>
      <c r="L185" s="11" t="s">
        <v>1182</v>
      </c>
      <c r="M185" s="11" t="s">
        <v>1519</v>
      </c>
      <c r="N185" s="11">
        <v>421.7</v>
      </c>
      <c r="O185" s="11">
        <v>2</v>
      </c>
      <c r="P185" s="11" t="s">
        <v>2047</v>
      </c>
      <c r="Q185" s="11" t="str">
        <f>_xlfn.IFS(Augmented_Data!$P185="FLAT8","8%",Augmented_Data!$P185="FLAT10","10%",Augmented_Data!$P185="FLAT15","15%",Augmented_Data!$P185="FLAT20","20%",Augmented_Data!$P185="DEL0","0 delivery charge")</f>
        <v>8%</v>
      </c>
      <c r="R185" s="11">
        <v>5</v>
      </c>
      <c r="S185" s="11" t="str">
        <f>_xlfn.IFS(Augmented_Data!U185-Augmented_Data!K185=Augmented_Data!$R185,"Intime",Augmented_Data!U185-Augmented_Data!K185&lt;Augmented_Data!R185,"Before Time",Augmented_Data!U185-Augmented_Data!K185&gt;Augmented_Data!R185,"Late")</f>
        <v>Before Time</v>
      </c>
      <c r="T185" s="11">
        <v>45</v>
      </c>
      <c r="U185" s="12">
        <v>45653</v>
      </c>
      <c r="V185" s="11">
        <f>DATEDIF(Augmented_Data!$K185,Augmented_Data!$U185,"D")</f>
        <v>2</v>
      </c>
      <c r="W185" s="11" t="s">
        <v>1734</v>
      </c>
      <c r="X185" s="11">
        <f>Augmented_Data!$Z185-Augmented_Data!$AA185</f>
        <v>71.072000000000003</v>
      </c>
      <c r="Y185" s="11">
        <f>Augmented_Data!$N185*Augmented_Data!$O185</f>
        <v>843.4</v>
      </c>
      <c r="Z185" s="11">
        <f>Augmented_Data!$Y185+Augmented_Data!$T185</f>
        <v>888.4</v>
      </c>
      <c r="AA185" s="13">
        <f>IF(Augmented_Data!Q185="0 delivery charge",Augmented_Data!Z185-Augmented_Data!T185,Augmented_Data!Z185*(1-Augmented_Data!Q185))</f>
        <v>817.32799999999997</v>
      </c>
    </row>
    <row r="186" spans="1:27" x14ac:dyDescent="0.3">
      <c r="A186" s="14" t="s">
        <v>35</v>
      </c>
      <c r="B186" s="14" t="str">
        <f>_xlfn.CONCAT(Augmented_Data!$C186," ",Augmented_Data!$D186)</f>
        <v>Mallory Mitchell</v>
      </c>
      <c r="C186" s="14" t="s">
        <v>135</v>
      </c>
      <c r="D186" s="14" t="s">
        <v>162</v>
      </c>
      <c r="E186" s="14">
        <v>42</v>
      </c>
      <c r="F186" s="14" t="s">
        <v>289</v>
      </c>
      <c r="G186" s="14" t="s">
        <v>297</v>
      </c>
      <c r="H186" s="14" t="s">
        <v>316</v>
      </c>
      <c r="I186" s="14" t="s">
        <v>416</v>
      </c>
      <c r="J186" s="14" t="s">
        <v>683</v>
      </c>
      <c r="K186" s="15">
        <v>45455</v>
      </c>
      <c r="L186" s="14" t="s">
        <v>1183</v>
      </c>
      <c r="M186" s="14" t="s">
        <v>1506</v>
      </c>
      <c r="N186" s="14">
        <v>372.62</v>
      </c>
      <c r="O186" s="14">
        <v>1</v>
      </c>
      <c r="P186" s="14" t="s">
        <v>1548</v>
      </c>
      <c r="Q186" s="14" t="str">
        <f>_xlfn.IFS(Augmented_Data!$P186="FLAT8","8%",Augmented_Data!$P186="FLAT10","10%",Augmented_Data!$P186="FLAT15","15%",Augmented_Data!$P186="FLAT20","20%",Augmented_Data!$P186="DEL0","0 delivery charge")</f>
        <v>15%</v>
      </c>
      <c r="R186" s="14">
        <v>3</v>
      </c>
      <c r="S186" s="14" t="str">
        <f>_xlfn.IFS(Augmented_Data!U186-Augmented_Data!K186=Augmented_Data!$R186,"Intime",Augmented_Data!U186-Augmented_Data!K186&lt;Augmented_Data!R186,"Before Time",Augmented_Data!U186-Augmented_Data!K186&gt;Augmented_Data!R186,"Late")</f>
        <v>Intime</v>
      </c>
      <c r="T186" s="14">
        <v>35</v>
      </c>
      <c r="U186" s="15">
        <v>45458</v>
      </c>
      <c r="V186" s="14">
        <f>DATEDIF(Augmented_Data!$K186,Augmented_Data!$U186,"D")</f>
        <v>3</v>
      </c>
      <c r="W186" s="14" t="s">
        <v>1735</v>
      </c>
      <c r="X186" s="14">
        <f>Augmented_Data!$Z186-Augmented_Data!$AA186</f>
        <v>61.143000000000029</v>
      </c>
      <c r="Y186" s="14">
        <f>Augmented_Data!$N186*Augmented_Data!$O186</f>
        <v>372.62</v>
      </c>
      <c r="Z186" s="14">
        <f>Augmented_Data!$Y186+Augmented_Data!$T186</f>
        <v>407.62</v>
      </c>
      <c r="AA186" s="16">
        <f>IF(Augmented_Data!Q186="0 delivery charge",Augmented_Data!Z186-Augmented_Data!T186,Augmented_Data!Z186*(1-Augmented_Data!Q186))</f>
        <v>346.47699999999998</v>
      </c>
    </row>
    <row r="187" spans="1:27" x14ac:dyDescent="0.3">
      <c r="A187" s="11" t="s">
        <v>73</v>
      </c>
      <c r="B187" s="11" t="str">
        <f>_xlfn.CONCAT(Augmented_Data!$C187," ",Augmented_Data!$D187)</f>
        <v>Brandon Cruz</v>
      </c>
      <c r="C187" s="11" t="s">
        <v>166</v>
      </c>
      <c r="D187" s="11" t="s">
        <v>251</v>
      </c>
      <c r="E187" s="11">
        <v>32</v>
      </c>
      <c r="F187" s="11" t="s">
        <v>290</v>
      </c>
      <c r="G187" s="11" t="s">
        <v>296</v>
      </c>
      <c r="H187" s="11" t="s">
        <v>354</v>
      </c>
      <c r="I187" s="11" t="s">
        <v>454</v>
      </c>
      <c r="J187" s="11" t="s">
        <v>684</v>
      </c>
      <c r="K187" s="12">
        <v>45455</v>
      </c>
      <c r="L187" s="11" t="s">
        <v>1184</v>
      </c>
      <c r="M187" s="11" t="s">
        <v>1503</v>
      </c>
      <c r="N187" s="11">
        <v>363.64</v>
      </c>
      <c r="O187" s="11">
        <v>3</v>
      </c>
      <c r="P187" s="11" t="s">
        <v>1547</v>
      </c>
      <c r="Q187" s="11" t="str">
        <f>_xlfn.IFS(Augmented_Data!$P187="FLAT8","8%",Augmented_Data!$P187="FLAT10","10%",Augmented_Data!$P187="FLAT15","15%",Augmented_Data!$P187="FLAT20","20%",Augmented_Data!$P187="DEL0","0 delivery charge")</f>
        <v>0 delivery charge</v>
      </c>
      <c r="R187" s="11">
        <v>3</v>
      </c>
      <c r="S187" s="11" t="str">
        <f>_xlfn.IFS(Augmented_Data!U187-Augmented_Data!K187=Augmented_Data!$R187,"Intime",Augmented_Data!U187-Augmented_Data!K187&lt;Augmented_Data!R187,"Before Time",Augmented_Data!U187-Augmented_Data!K187&gt;Augmented_Data!R187,"Late")</f>
        <v>Late</v>
      </c>
      <c r="T187" s="11">
        <v>70</v>
      </c>
      <c r="U187" s="12">
        <v>45461</v>
      </c>
      <c r="V187" s="11">
        <f>DATEDIF(Augmented_Data!$K187,Augmented_Data!$U187,"D")</f>
        <v>6</v>
      </c>
      <c r="W187" s="11" t="s">
        <v>1736</v>
      </c>
      <c r="X187" s="11">
        <f>Augmented_Data!$Z187-Augmented_Data!$AA187</f>
        <v>70</v>
      </c>
      <c r="Y187" s="11">
        <f>Augmented_Data!$N187*Augmented_Data!$O187</f>
        <v>1090.92</v>
      </c>
      <c r="Z187" s="11">
        <f>Augmented_Data!$Y187+Augmented_Data!$T187</f>
        <v>1160.92</v>
      </c>
      <c r="AA187" s="13">
        <f>IF(Augmented_Data!Q187="0 delivery charge",Augmented_Data!Z187-Augmented_Data!T187,Augmented_Data!Z187*(1-Augmented_Data!Q187))</f>
        <v>1090.92</v>
      </c>
    </row>
    <row r="188" spans="1:27" x14ac:dyDescent="0.3">
      <c r="A188" s="14" t="s">
        <v>23</v>
      </c>
      <c r="B188" s="14" t="str">
        <f>_xlfn.CONCAT(Augmented_Data!$C188," ",Augmented_Data!$D188)</f>
        <v>Christine West</v>
      </c>
      <c r="C188" s="14" t="s">
        <v>123</v>
      </c>
      <c r="D188" s="14" t="s">
        <v>205</v>
      </c>
      <c r="E188" s="14">
        <v>53</v>
      </c>
      <c r="F188" s="14" t="s">
        <v>290</v>
      </c>
      <c r="G188" s="14" t="s">
        <v>295</v>
      </c>
      <c r="H188" s="14" t="s">
        <v>304</v>
      </c>
      <c r="I188" s="14" t="s">
        <v>404</v>
      </c>
      <c r="J188" s="14" t="s">
        <v>685</v>
      </c>
      <c r="K188" s="15">
        <v>45561</v>
      </c>
      <c r="L188" s="14" t="s">
        <v>1185</v>
      </c>
      <c r="M188" s="14" t="s">
        <v>1501</v>
      </c>
      <c r="N188" s="14">
        <v>330.11</v>
      </c>
      <c r="O188" s="14">
        <v>4</v>
      </c>
      <c r="P188" s="14" t="s">
        <v>1550</v>
      </c>
      <c r="Q188" s="14" t="str">
        <f>_xlfn.IFS(Augmented_Data!$P188="FLAT8","8%",Augmented_Data!$P188="FLAT10","10%",Augmented_Data!$P188="FLAT15","15%",Augmented_Data!$P188="FLAT20","20%",Augmented_Data!$P188="DEL0","0 delivery charge")</f>
        <v>20%</v>
      </c>
      <c r="R188" s="14">
        <v>4</v>
      </c>
      <c r="S188" s="14" t="str">
        <f>_xlfn.IFS(Augmented_Data!U188-Augmented_Data!K188=Augmented_Data!$R188,"Intime",Augmented_Data!U188-Augmented_Data!K188&lt;Augmented_Data!R188,"Before Time",Augmented_Data!U188-Augmented_Data!K188&gt;Augmented_Data!R188,"Late")</f>
        <v>Late</v>
      </c>
      <c r="T188" s="14">
        <v>47</v>
      </c>
      <c r="U188" s="15">
        <v>45566</v>
      </c>
      <c r="V188" s="14">
        <f>DATEDIF(Augmented_Data!$K188,Augmented_Data!$U188,"D")</f>
        <v>5</v>
      </c>
      <c r="W188" s="14" t="s">
        <v>1737</v>
      </c>
      <c r="X188" s="14">
        <f>Augmented_Data!$Z188-Augmented_Data!$AA188</f>
        <v>273.48800000000006</v>
      </c>
      <c r="Y188" s="14">
        <f>Augmented_Data!$N188*Augmented_Data!$O188</f>
        <v>1320.44</v>
      </c>
      <c r="Z188" s="14">
        <f>Augmented_Data!$Y188+Augmented_Data!$T188</f>
        <v>1367.44</v>
      </c>
      <c r="AA188" s="16">
        <f>IF(Augmented_Data!Q188="0 delivery charge",Augmented_Data!Z188-Augmented_Data!T188,Augmented_Data!Z188*(1-Augmented_Data!Q188))</f>
        <v>1093.952</v>
      </c>
    </row>
    <row r="189" spans="1:27" x14ac:dyDescent="0.3">
      <c r="A189" s="11" t="s">
        <v>50</v>
      </c>
      <c r="B189" s="11" t="str">
        <f>_xlfn.CONCAT(Augmented_Data!$C189," ",Augmented_Data!$D189)</f>
        <v>Jenny Estrada</v>
      </c>
      <c r="C189" s="11" t="s">
        <v>148</v>
      </c>
      <c r="D189" s="11" t="s">
        <v>231</v>
      </c>
      <c r="E189" s="11">
        <v>45</v>
      </c>
      <c r="F189" s="11" t="s">
        <v>288</v>
      </c>
      <c r="G189" s="11" t="s">
        <v>292</v>
      </c>
      <c r="H189" s="11" t="s">
        <v>331</v>
      </c>
      <c r="I189" s="11" t="s">
        <v>431</v>
      </c>
      <c r="J189" s="11" t="s">
        <v>686</v>
      </c>
      <c r="K189" s="12">
        <v>45099</v>
      </c>
      <c r="L189" s="11" t="s">
        <v>1186</v>
      </c>
      <c r="M189" s="11" t="s">
        <v>1544</v>
      </c>
      <c r="N189" s="11">
        <v>107.47</v>
      </c>
      <c r="O189" s="11">
        <v>1</v>
      </c>
      <c r="P189" s="11" t="s">
        <v>1549</v>
      </c>
      <c r="Q189" s="11" t="str">
        <f>_xlfn.IFS(Augmented_Data!$P189="FLAT8","8%",Augmented_Data!$P189="FLAT10","10%",Augmented_Data!$P189="FLAT15","15%",Augmented_Data!$P189="FLAT20","20%",Augmented_Data!$P189="DEL0","0 delivery charge")</f>
        <v>10%</v>
      </c>
      <c r="R189" s="11">
        <v>5</v>
      </c>
      <c r="S189" s="11" t="str">
        <f>_xlfn.IFS(Augmented_Data!U189-Augmented_Data!K189=Augmented_Data!$R189,"Intime",Augmented_Data!U189-Augmented_Data!K189&lt;Augmented_Data!R189,"Before Time",Augmented_Data!U189-Augmented_Data!K189&gt;Augmented_Data!R189,"Late")</f>
        <v>Intime</v>
      </c>
      <c r="T189" s="11">
        <v>56</v>
      </c>
      <c r="U189" s="12">
        <v>45104</v>
      </c>
      <c r="V189" s="11">
        <f>DATEDIF(Augmented_Data!$K189,Augmented_Data!$U189,"D")</f>
        <v>5</v>
      </c>
      <c r="W189" s="11" t="s">
        <v>1738</v>
      </c>
      <c r="X189" s="11">
        <f>Augmented_Data!$Z189-Augmented_Data!$AA189</f>
        <v>16.347000000000008</v>
      </c>
      <c r="Y189" s="11">
        <f>Augmented_Data!$N189*Augmented_Data!$O189</f>
        <v>107.47</v>
      </c>
      <c r="Z189" s="11">
        <f>Augmented_Data!$Y189+Augmented_Data!$T189</f>
        <v>163.47</v>
      </c>
      <c r="AA189" s="13">
        <f>IF(Augmented_Data!Q189="0 delivery charge",Augmented_Data!Z189-Augmented_Data!T189,Augmented_Data!Z189*(1-Augmented_Data!Q189))</f>
        <v>147.12299999999999</v>
      </c>
    </row>
    <row r="190" spans="1:27" x14ac:dyDescent="0.3">
      <c r="A190" s="14" t="s">
        <v>33</v>
      </c>
      <c r="B190" s="14" t="str">
        <f>_xlfn.CONCAT(Augmented_Data!$C190," ",Augmented_Data!$D190)</f>
        <v>Erin Miller</v>
      </c>
      <c r="C190" s="14" t="s">
        <v>133</v>
      </c>
      <c r="D190" s="14" t="s">
        <v>215</v>
      </c>
      <c r="E190" s="14">
        <v>46</v>
      </c>
      <c r="F190" s="14" t="s">
        <v>288</v>
      </c>
      <c r="G190" s="14" t="s">
        <v>297</v>
      </c>
      <c r="H190" s="14" t="s">
        <v>314</v>
      </c>
      <c r="I190" s="14" t="s">
        <v>414</v>
      </c>
      <c r="J190" s="14" t="s">
        <v>687</v>
      </c>
      <c r="K190" s="15">
        <v>45586</v>
      </c>
      <c r="L190" s="14" t="s">
        <v>1187</v>
      </c>
      <c r="M190" s="14" t="s">
        <v>1516</v>
      </c>
      <c r="N190" s="14">
        <v>126.19</v>
      </c>
      <c r="O190" s="14">
        <v>1</v>
      </c>
      <c r="P190" s="14" t="s">
        <v>1550</v>
      </c>
      <c r="Q190" s="14" t="str">
        <f>_xlfn.IFS(Augmented_Data!$P190="FLAT8","8%",Augmented_Data!$P190="FLAT10","10%",Augmented_Data!$P190="FLAT15","15%",Augmented_Data!$P190="FLAT20","20%",Augmented_Data!$P190="DEL0","0 delivery charge")</f>
        <v>20%</v>
      </c>
      <c r="R190" s="14">
        <v>5</v>
      </c>
      <c r="S190" s="14" t="str">
        <f>_xlfn.IFS(Augmented_Data!U190-Augmented_Data!K190=Augmented_Data!$R190,"Intime",Augmented_Data!U190-Augmented_Data!K190&lt;Augmented_Data!R190,"Before Time",Augmented_Data!U190-Augmented_Data!K190&gt;Augmented_Data!R190,"Late")</f>
        <v>Before Time</v>
      </c>
      <c r="T190" s="14">
        <v>68</v>
      </c>
      <c r="U190" s="15">
        <v>45588</v>
      </c>
      <c r="V190" s="14">
        <f>DATEDIF(Augmented_Data!$K190,Augmented_Data!$U190,"D")</f>
        <v>2</v>
      </c>
      <c r="W190" s="14" t="s">
        <v>1739</v>
      </c>
      <c r="X190" s="14">
        <f>Augmented_Data!$Z190-Augmented_Data!$AA190</f>
        <v>38.837999999999994</v>
      </c>
      <c r="Y190" s="14">
        <f>Augmented_Data!$N190*Augmented_Data!$O190</f>
        <v>126.19</v>
      </c>
      <c r="Z190" s="14">
        <f>Augmented_Data!$Y190+Augmented_Data!$T190</f>
        <v>194.19</v>
      </c>
      <c r="AA190" s="16">
        <f>IF(Augmented_Data!Q190="0 delivery charge",Augmented_Data!Z190-Augmented_Data!T190,Augmented_Data!Z190*(1-Augmented_Data!Q190))</f>
        <v>155.352</v>
      </c>
    </row>
    <row r="191" spans="1:27" x14ac:dyDescent="0.3">
      <c r="A191" s="11" t="s">
        <v>81</v>
      </c>
      <c r="B191" s="11" t="str">
        <f>_xlfn.CONCAT(Augmented_Data!$C191," ",Augmented_Data!$D191)</f>
        <v>Beth Mason</v>
      </c>
      <c r="C191" s="11" t="s">
        <v>171</v>
      </c>
      <c r="D191" s="11" t="s">
        <v>258</v>
      </c>
      <c r="E191" s="11">
        <v>45</v>
      </c>
      <c r="F191" s="11" t="s">
        <v>290</v>
      </c>
      <c r="G191" s="11" t="s">
        <v>296</v>
      </c>
      <c r="H191" s="11" t="s">
        <v>362</v>
      </c>
      <c r="I191" s="11" t="s">
        <v>462</v>
      </c>
      <c r="J191" s="11" t="s">
        <v>688</v>
      </c>
      <c r="K191" s="12">
        <v>45060</v>
      </c>
      <c r="L191" s="11" t="s">
        <v>1188</v>
      </c>
      <c r="M191" s="11" t="s">
        <v>1543</v>
      </c>
      <c r="N191" s="11">
        <v>381.73</v>
      </c>
      <c r="O191" s="11">
        <v>2</v>
      </c>
      <c r="P191" s="11" t="s">
        <v>1547</v>
      </c>
      <c r="Q191" s="11" t="str">
        <f>_xlfn.IFS(Augmented_Data!$P191="FLAT8","8%",Augmented_Data!$P191="FLAT10","10%",Augmented_Data!$P191="FLAT15","15%",Augmented_Data!$P191="FLAT20","20%",Augmented_Data!$P191="DEL0","0 delivery charge")</f>
        <v>0 delivery charge</v>
      </c>
      <c r="R191" s="11">
        <v>5</v>
      </c>
      <c r="S191" s="11" t="str">
        <f>_xlfn.IFS(Augmented_Data!U191-Augmented_Data!K191=Augmented_Data!$R191,"Intime",Augmented_Data!U191-Augmented_Data!K191&lt;Augmented_Data!R191,"Before Time",Augmented_Data!U191-Augmented_Data!K191&gt;Augmented_Data!R191,"Late")</f>
        <v>Late</v>
      </c>
      <c r="T191" s="11">
        <v>38</v>
      </c>
      <c r="U191" s="12">
        <v>45066</v>
      </c>
      <c r="V191" s="11">
        <f>DATEDIF(Augmented_Data!$K191,Augmented_Data!$U191,"D")</f>
        <v>6</v>
      </c>
      <c r="W191" s="11" t="s">
        <v>1740</v>
      </c>
      <c r="X191" s="11">
        <f>Augmented_Data!$Z191-Augmented_Data!$AA191</f>
        <v>38</v>
      </c>
      <c r="Y191" s="11">
        <f>Augmented_Data!$N191*Augmented_Data!$O191</f>
        <v>763.46</v>
      </c>
      <c r="Z191" s="11">
        <f>Augmented_Data!$Y191+Augmented_Data!$T191</f>
        <v>801.46</v>
      </c>
      <c r="AA191" s="13">
        <f>IF(Augmented_Data!Q191="0 delivery charge",Augmented_Data!Z191-Augmented_Data!T191,Augmented_Data!Z191*(1-Augmented_Data!Q191))</f>
        <v>763.46</v>
      </c>
    </row>
    <row r="192" spans="1:27" x14ac:dyDescent="0.3">
      <c r="A192" s="14" t="s">
        <v>66</v>
      </c>
      <c r="B192" s="14" t="str">
        <f>_xlfn.CONCAT(Augmented_Data!$C192," ",Augmented_Data!$D192)</f>
        <v>Debra Hayes</v>
      </c>
      <c r="C192" s="14" t="s">
        <v>127</v>
      </c>
      <c r="D192" s="14" t="s">
        <v>247</v>
      </c>
      <c r="E192" s="14">
        <v>33</v>
      </c>
      <c r="F192" s="14" t="s">
        <v>288</v>
      </c>
      <c r="G192" s="14" t="s">
        <v>297</v>
      </c>
      <c r="H192" s="14" t="s">
        <v>347</v>
      </c>
      <c r="I192" s="14" t="s">
        <v>447</v>
      </c>
      <c r="J192" s="14" t="s">
        <v>689</v>
      </c>
      <c r="K192" s="15">
        <v>45069</v>
      </c>
      <c r="L192" s="14" t="s">
        <v>1189</v>
      </c>
      <c r="M192" s="14" t="s">
        <v>1545</v>
      </c>
      <c r="N192" s="14">
        <v>292.14999999999998</v>
      </c>
      <c r="O192" s="14">
        <v>5</v>
      </c>
      <c r="P192" s="14" t="s">
        <v>1549</v>
      </c>
      <c r="Q192" s="14" t="str">
        <f>_xlfn.IFS(Augmented_Data!$P192="FLAT8","8%",Augmented_Data!$P192="FLAT10","10%",Augmented_Data!$P192="FLAT15","15%",Augmented_Data!$P192="FLAT20","20%",Augmented_Data!$P192="DEL0","0 delivery charge")</f>
        <v>10%</v>
      </c>
      <c r="R192" s="14">
        <v>6</v>
      </c>
      <c r="S192" s="14" t="str">
        <f>_xlfn.IFS(Augmented_Data!U192-Augmented_Data!K192=Augmented_Data!$R192,"Intime",Augmented_Data!U192-Augmented_Data!K192&lt;Augmented_Data!R192,"Before Time",Augmented_Data!U192-Augmented_Data!K192&gt;Augmented_Data!R192,"Late")</f>
        <v>Before Time</v>
      </c>
      <c r="T192" s="14">
        <v>68</v>
      </c>
      <c r="U192" s="15">
        <v>45071</v>
      </c>
      <c r="V192" s="14">
        <f>DATEDIF(Augmented_Data!$K192,Augmented_Data!$U192,"D")</f>
        <v>2</v>
      </c>
      <c r="W192" s="14" t="s">
        <v>1741</v>
      </c>
      <c r="X192" s="14">
        <f>Augmented_Data!$Z192-Augmented_Data!$AA192</f>
        <v>152.875</v>
      </c>
      <c r="Y192" s="14">
        <f>Augmented_Data!$N192*Augmented_Data!$O192</f>
        <v>1460.75</v>
      </c>
      <c r="Z192" s="14">
        <f>Augmented_Data!$Y192+Augmented_Data!$T192</f>
        <v>1528.75</v>
      </c>
      <c r="AA192" s="16">
        <f>IF(Augmented_Data!Q192="0 delivery charge",Augmented_Data!Z192-Augmented_Data!T192,Augmented_Data!Z192*(1-Augmented_Data!Q192))</f>
        <v>1375.875</v>
      </c>
    </row>
    <row r="193" spans="1:27" x14ac:dyDescent="0.3">
      <c r="A193" s="11" t="s">
        <v>68</v>
      </c>
      <c r="B193" s="11" t="str">
        <f>_xlfn.CONCAT(Augmented_Data!$C193," ",Augmented_Data!$D193)</f>
        <v>Mitchell Parker</v>
      </c>
      <c r="C193" s="11" t="s">
        <v>162</v>
      </c>
      <c r="D193" s="11" t="s">
        <v>232</v>
      </c>
      <c r="E193" s="11">
        <v>39</v>
      </c>
      <c r="F193" s="11" t="s">
        <v>290</v>
      </c>
      <c r="G193" s="11" t="s">
        <v>292</v>
      </c>
      <c r="H193" s="11" t="s">
        <v>349</v>
      </c>
      <c r="I193" s="11" t="s">
        <v>449</v>
      </c>
      <c r="J193" s="11" t="s">
        <v>690</v>
      </c>
      <c r="K193" s="12">
        <v>45036</v>
      </c>
      <c r="L193" s="11" t="s">
        <v>1190</v>
      </c>
      <c r="M193" s="11" t="s">
        <v>1533</v>
      </c>
      <c r="N193" s="11">
        <v>136.30000000000001</v>
      </c>
      <c r="O193" s="11">
        <v>3</v>
      </c>
      <c r="P193" s="11" t="s">
        <v>1548</v>
      </c>
      <c r="Q193" s="11" t="str">
        <f>_xlfn.IFS(Augmented_Data!$P193="FLAT8","8%",Augmented_Data!$P193="FLAT10","10%",Augmented_Data!$P193="FLAT15","15%",Augmented_Data!$P193="FLAT20","20%",Augmented_Data!$P193="DEL0","0 delivery charge")</f>
        <v>15%</v>
      </c>
      <c r="R193" s="11">
        <v>6</v>
      </c>
      <c r="S193" s="11" t="str">
        <f>_xlfn.IFS(Augmented_Data!U193-Augmented_Data!K193=Augmented_Data!$R193,"Intime",Augmented_Data!U193-Augmented_Data!K193&lt;Augmented_Data!R193,"Before Time",Augmented_Data!U193-Augmented_Data!K193&gt;Augmented_Data!R193,"Late")</f>
        <v>Late</v>
      </c>
      <c r="T193" s="11">
        <v>42</v>
      </c>
      <c r="U193" s="12">
        <v>45043</v>
      </c>
      <c r="V193" s="11">
        <f>DATEDIF(Augmented_Data!$K193,Augmented_Data!$U193,"D")</f>
        <v>7</v>
      </c>
      <c r="W193" s="11" t="s">
        <v>1742</v>
      </c>
      <c r="X193" s="11">
        <f>Augmented_Data!$Z193-Augmented_Data!$AA193</f>
        <v>67.634999999999991</v>
      </c>
      <c r="Y193" s="11">
        <f>Augmented_Data!$N193*Augmented_Data!$O193</f>
        <v>408.90000000000003</v>
      </c>
      <c r="Z193" s="11">
        <f>Augmented_Data!$Y193+Augmented_Data!$T193</f>
        <v>450.90000000000003</v>
      </c>
      <c r="AA193" s="13">
        <f>IF(Augmented_Data!Q193="0 delivery charge",Augmented_Data!Z193-Augmented_Data!T193,Augmented_Data!Z193*(1-Augmented_Data!Q193))</f>
        <v>383.26500000000004</v>
      </c>
    </row>
    <row r="194" spans="1:27" x14ac:dyDescent="0.3">
      <c r="A194" s="14" t="s">
        <v>80</v>
      </c>
      <c r="B194" s="14" t="str">
        <f>_xlfn.CONCAT(Augmented_Data!$C194," ",Augmented_Data!$D194)</f>
        <v>Amy Ellis</v>
      </c>
      <c r="C194" s="14" t="s">
        <v>131</v>
      </c>
      <c r="D194" s="14" t="s">
        <v>257</v>
      </c>
      <c r="E194" s="14">
        <v>44</v>
      </c>
      <c r="F194" s="14" t="s">
        <v>290</v>
      </c>
      <c r="G194" s="14" t="s">
        <v>296</v>
      </c>
      <c r="H194" s="14" t="s">
        <v>361</v>
      </c>
      <c r="I194" s="14" t="s">
        <v>461</v>
      </c>
      <c r="J194" s="14" t="s">
        <v>691</v>
      </c>
      <c r="K194" s="15">
        <v>45208</v>
      </c>
      <c r="L194" s="14" t="s">
        <v>1191</v>
      </c>
      <c r="M194" s="14" t="s">
        <v>1536</v>
      </c>
      <c r="N194" s="14">
        <v>403.03</v>
      </c>
      <c r="O194" s="14">
        <v>3</v>
      </c>
      <c r="P194" s="14" t="s">
        <v>1548</v>
      </c>
      <c r="Q194" s="14" t="str">
        <f>_xlfn.IFS(Augmented_Data!$P194="FLAT8","8%",Augmented_Data!$P194="FLAT10","10%",Augmented_Data!$P194="FLAT15","15%",Augmented_Data!$P194="FLAT20","20%",Augmented_Data!$P194="DEL0","0 delivery charge")</f>
        <v>15%</v>
      </c>
      <c r="R194" s="14">
        <v>4</v>
      </c>
      <c r="S194" s="14" t="str">
        <f>_xlfn.IFS(Augmented_Data!U194-Augmented_Data!K194=Augmented_Data!$R194,"Intime",Augmented_Data!U194-Augmented_Data!K194&lt;Augmented_Data!R194,"Before Time",Augmented_Data!U194-Augmented_Data!K194&gt;Augmented_Data!R194,"Late")</f>
        <v>Late</v>
      </c>
      <c r="T194" s="14">
        <v>67</v>
      </c>
      <c r="U194" s="15">
        <v>45213</v>
      </c>
      <c r="V194" s="14">
        <f>DATEDIF(Augmented_Data!$K194,Augmented_Data!$U194,"D")</f>
        <v>5</v>
      </c>
      <c r="W194" s="14" t="s">
        <v>1743</v>
      </c>
      <c r="X194" s="14">
        <f>Augmented_Data!$Z194-Augmented_Data!$AA194</f>
        <v>191.41350000000011</v>
      </c>
      <c r="Y194" s="14">
        <f>Augmented_Data!$N194*Augmented_Data!$O194</f>
        <v>1209.0899999999999</v>
      </c>
      <c r="Z194" s="14">
        <f>Augmented_Data!$Y194+Augmented_Data!$T194</f>
        <v>1276.0899999999999</v>
      </c>
      <c r="AA194" s="16">
        <f>IF(Augmented_Data!Q194="0 delivery charge",Augmented_Data!Z194-Augmented_Data!T194,Augmented_Data!Z194*(1-Augmented_Data!Q194))</f>
        <v>1084.6764999999998</v>
      </c>
    </row>
    <row r="195" spans="1:27" x14ac:dyDescent="0.3">
      <c r="A195" s="11" t="s">
        <v>61</v>
      </c>
      <c r="B195" s="11" t="str">
        <f>_xlfn.CONCAT(Augmented_Data!$C195," ",Augmented_Data!$D195)</f>
        <v>Mary Knight</v>
      </c>
      <c r="C195" s="11" t="s">
        <v>158</v>
      </c>
      <c r="D195" s="11" t="s">
        <v>242</v>
      </c>
      <c r="E195" s="11">
        <v>28</v>
      </c>
      <c r="F195" s="11" t="s">
        <v>290</v>
      </c>
      <c r="G195" s="11" t="s">
        <v>295</v>
      </c>
      <c r="H195" s="11" t="s">
        <v>342</v>
      </c>
      <c r="I195" s="11" t="s">
        <v>442</v>
      </c>
      <c r="J195" s="11" t="s">
        <v>692</v>
      </c>
      <c r="K195" s="12">
        <v>45241</v>
      </c>
      <c r="L195" s="11" t="s">
        <v>1192</v>
      </c>
      <c r="M195" s="11" t="s">
        <v>1537</v>
      </c>
      <c r="N195" s="11">
        <v>445.81</v>
      </c>
      <c r="O195" s="11">
        <v>2</v>
      </c>
      <c r="P195" s="11" t="s">
        <v>1547</v>
      </c>
      <c r="Q195" s="11" t="str">
        <f>_xlfn.IFS(Augmented_Data!$P195="FLAT8","8%",Augmented_Data!$P195="FLAT10","10%",Augmented_Data!$P195="FLAT15","15%",Augmented_Data!$P195="FLAT20","20%",Augmented_Data!$P195="DEL0","0 delivery charge")</f>
        <v>0 delivery charge</v>
      </c>
      <c r="R195" s="11">
        <v>7</v>
      </c>
      <c r="S195" s="11" t="str">
        <f>_xlfn.IFS(Augmented_Data!U195-Augmented_Data!K195=Augmented_Data!$R195,"Intime",Augmented_Data!U195-Augmented_Data!K195&lt;Augmented_Data!R195,"Before Time",Augmented_Data!U195-Augmented_Data!K195&gt;Augmented_Data!R195,"Late")</f>
        <v>Before Time</v>
      </c>
      <c r="T195" s="11">
        <v>67</v>
      </c>
      <c r="U195" s="12">
        <v>45242</v>
      </c>
      <c r="V195" s="11">
        <f>DATEDIF(Augmented_Data!$K195,Augmented_Data!$U195,"D")</f>
        <v>1</v>
      </c>
      <c r="W195" s="11" t="s">
        <v>1744</v>
      </c>
      <c r="X195" s="11">
        <f>Augmented_Data!$Z195-Augmented_Data!$AA195</f>
        <v>67</v>
      </c>
      <c r="Y195" s="11">
        <f>Augmented_Data!$N195*Augmented_Data!$O195</f>
        <v>891.62</v>
      </c>
      <c r="Z195" s="11">
        <f>Augmented_Data!$Y195+Augmented_Data!$T195</f>
        <v>958.62</v>
      </c>
      <c r="AA195" s="13">
        <f>IF(Augmented_Data!Q195="0 delivery charge",Augmented_Data!Z195-Augmented_Data!T195,Augmented_Data!Z195*(1-Augmented_Data!Q195))</f>
        <v>891.62</v>
      </c>
    </row>
    <row r="196" spans="1:27" x14ac:dyDescent="0.3">
      <c r="A196" s="14" t="s">
        <v>104</v>
      </c>
      <c r="B196" s="14" t="str">
        <f>_xlfn.CONCAT(Augmented_Data!$C196," ",Augmented_Data!$D196)</f>
        <v>Christine Aguilar</v>
      </c>
      <c r="C196" s="14" t="s">
        <v>123</v>
      </c>
      <c r="D196" s="14" t="s">
        <v>278</v>
      </c>
      <c r="E196" s="14">
        <v>46</v>
      </c>
      <c r="F196" s="14" t="s">
        <v>288</v>
      </c>
      <c r="G196" s="14" t="s">
        <v>291</v>
      </c>
      <c r="H196" s="14" t="s">
        <v>385</v>
      </c>
      <c r="I196" s="14" t="s">
        <v>485</v>
      </c>
      <c r="J196" s="14" t="s">
        <v>693</v>
      </c>
      <c r="K196" s="15">
        <v>45051</v>
      </c>
      <c r="L196" s="14" t="s">
        <v>1193</v>
      </c>
      <c r="M196" s="14" t="s">
        <v>1523</v>
      </c>
      <c r="N196" s="14">
        <v>129.75</v>
      </c>
      <c r="O196" s="14">
        <v>5</v>
      </c>
      <c r="P196" s="14" t="s">
        <v>1550</v>
      </c>
      <c r="Q196" s="14" t="str">
        <f>_xlfn.IFS(Augmented_Data!$P196="FLAT8","8%",Augmented_Data!$P196="FLAT10","10%",Augmented_Data!$P196="FLAT15","15%",Augmented_Data!$P196="FLAT20","20%",Augmented_Data!$P196="DEL0","0 delivery charge")</f>
        <v>20%</v>
      </c>
      <c r="R196" s="14">
        <v>6</v>
      </c>
      <c r="S196" s="14" t="str">
        <f>_xlfn.IFS(Augmented_Data!U196-Augmented_Data!K196=Augmented_Data!$R196,"Intime",Augmented_Data!U196-Augmented_Data!K196&lt;Augmented_Data!R196,"Before Time",Augmented_Data!U196-Augmented_Data!K196&gt;Augmented_Data!R196,"Late")</f>
        <v>Intime</v>
      </c>
      <c r="T196" s="14">
        <v>38</v>
      </c>
      <c r="U196" s="15">
        <v>45057</v>
      </c>
      <c r="V196" s="14">
        <f>DATEDIF(Augmented_Data!$K196,Augmented_Data!$U196,"D")</f>
        <v>6</v>
      </c>
      <c r="W196" s="14" t="s">
        <v>1745</v>
      </c>
      <c r="X196" s="14">
        <f>Augmented_Data!$Z196-Augmented_Data!$AA196</f>
        <v>137.35000000000002</v>
      </c>
      <c r="Y196" s="14">
        <f>Augmented_Data!$N196*Augmented_Data!$O196</f>
        <v>648.75</v>
      </c>
      <c r="Z196" s="14">
        <f>Augmented_Data!$Y196+Augmented_Data!$T196</f>
        <v>686.75</v>
      </c>
      <c r="AA196" s="16">
        <f>IF(Augmented_Data!Q196="0 delivery charge",Augmented_Data!Z196-Augmented_Data!T196,Augmented_Data!Z196*(1-Augmented_Data!Q196))</f>
        <v>549.4</v>
      </c>
    </row>
    <row r="197" spans="1:27" x14ac:dyDescent="0.3">
      <c r="A197" s="11" t="s">
        <v>70</v>
      </c>
      <c r="B197" s="11" t="str">
        <f>_xlfn.CONCAT(Augmented_Data!$C197," ",Augmented_Data!$D197)</f>
        <v>Sarah Butler</v>
      </c>
      <c r="C197" s="11" t="s">
        <v>164</v>
      </c>
      <c r="D197" s="11" t="s">
        <v>248</v>
      </c>
      <c r="E197" s="11">
        <v>64</v>
      </c>
      <c r="F197" s="11" t="s">
        <v>288</v>
      </c>
      <c r="G197" s="11" t="s">
        <v>291</v>
      </c>
      <c r="H197" s="11" t="s">
        <v>351</v>
      </c>
      <c r="I197" s="11" t="s">
        <v>451</v>
      </c>
      <c r="J197" s="11" t="s">
        <v>694</v>
      </c>
      <c r="K197" s="12">
        <v>45282</v>
      </c>
      <c r="L197" s="11" t="s">
        <v>1194</v>
      </c>
      <c r="M197" s="11" t="s">
        <v>1546</v>
      </c>
      <c r="N197" s="11">
        <v>33.49</v>
      </c>
      <c r="O197" s="11">
        <v>3</v>
      </c>
      <c r="P197" s="11" t="s">
        <v>1548</v>
      </c>
      <c r="Q197" s="11" t="str">
        <f>_xlfn.IFS(Augmented_Data!$P197="FLAT8","8%",Augmented_Data!$P197="FLAT10","10%",Augmented_Data!$P197="FLAT15","15%",Augmented_Data!$P197="FLAT20","20%",Augmented_Data!$P197="DEL0","0 delivery charge")</f>
        <v>15%</v>
      </c>
      <c r="R197" s="11">
        <v>2</v>
      </c>
      <c r="S197" s="11" t="str">
        <f>_xlfn.IFS(Augmented_Data!U197-Augmented_Data!K197=Augmented_Data!$R197,"Intime",Augmented_Data!U197-Augmented_Data!K197&lt;Augmented_Data!R197,"Before Time",Augmented_Data!U197-Augmented_Data!K197&gt;Augmented_Data!R197,"Late")</f>
        <v>Intime</v>
      </c>
      <c r="T197" s="11">
        <v>62</v>
      </c>
      <c r="U197" s="12">
        <v>45284</v>
      </c>
      <c r="V197" s="11">
        <f>DATEDIF(Augmented_Data!$K197,Augmented_Data!$U197,"D")</f>
        <v>2</v>
      </c>
      <c r="W197" s="11" t="s">
        <v>1746</v>
      </c>
      <c r="X197" s="11">
        <f>Augmented_Data!$Z197-Augmented_Data!$AA197</f>
        <v>24.370499999999993</v>
      </c>
      <c r="Y197" s="11">
        <f>Augmented_Data!$N197*Augmented_Data!$O197</f>
        <v>100.47</v>
      </c>
      <c r="Z197" s="11">
        <f>Augmented_Data!$Y197+Augmented_Data!$T197</f>
        <v>162.47</v>
      </c>
      <c r="AA197" s="13">
        <f>IF(Augmented_Data!Q197="0 delivery charge",Augmented_Data!Z197-Augmented_Data!T197,Augmented_Data!Z197*(1-Augmented_Data!Q197))</f>
        <v>138.09950000000001</v>
      </c>
    </row>
    <row r="198" spans="1:27" x14ac:dyDescent="0.3">
      <c r="A198" s="14" t="s">
        <v>73</v>
      </c>
      <c r="B198" s="14" t="str">
        <f>_xlfn.CONCAT(Augmented_Data!$C198," ",Augmented_Data!$D198)</f>
        <v>Brandon Cruz</v>
      </c>
      <c r="C198" s="14" t="s">
        <v>166</v>
      </c>
      <c r="D198" s="14" t="s">
        <v>251</v>
      </c>
      <c r="E198" s="14">
        <v>32</v>
      </c>
      <c r="F198" s="14" t="s">
        <v>290</v>
      </c>
      <c r="G198" s="14" t="s">
        <v>296</v>
      </c>
      <c r="H198" s="14" t="s">
        <v>354</v>
      </c>
      <c r="I198" s="14" t="s">
        <v>454</v>
      </c>
      <c r="J198" s="14" t="s">
        <v>695</v>
      </c>
      <c r="K198" s="15">
        <v>45689</v>
      </c>
      <c r="L198" s="14" t="s">
        <v>1195</v>
      </c>
      <c r="M198" s="14" t="s">
        <v>1501</v>
      </c>
      <c r="N198" s="14">
        <v>330.11</v>
      </c>
      <c r="O198" s="14">
        <v>4</v>
      </c>
      <c r="P198" s="14" t="s">
        <v>1550</v>
      </c>
      <c r="Q198" s="14" t="str">
        <f>_xlfn.IFS(Augmented_Data!$P198="FLAT8","8%",Augmented_Data!$P198="FLAT10","10%",Augmented_Data!$P198="FLAT15","15%",Augmented_Data!$P198="FLAT20","20%",Augmented_Data!$P198="DEL0","0 delivery charge")</f>
        <v>20%</v>
      </c>
      <c r="R198" s="14">
        <v>2</v>
      </c>
      <c r="S198" s="14" t="str">
        <f>_xlfn.IFS(Augmented_Data!U198-Augmented_Data!K198=Augmented_Data!$R198,"Intime",Augmented_Data!U198-Augmented_Data!K198&lt;Augmented_Data!R198,"Before Time",Augmented_Data!U198-Augmented_Data!K198&gt;Augmented_Data!R198,"Late")</f>
        <v>Late</v>
      </c>
      <c r="T198" s="14">
        <v>69</v>
      </c>
      <c r="U198" s="15">
        <v>45695</v>
      </c>
      <c r="V198" s="14">
        <f>DATEDIF(Augmented_Data!$K198,Augmented_Data!$U198,"D")</f>
        <v>6</v>
      </c>
      <c r="W198" s="14" t="s">
        <v>1747</v>
      </c>
      <c r="X198" s="14">
        <f>Augmented_Data!$Z198-Augmented_Data!$AA198</f>
        <v>277.88799999999992</v>
      </c>
      <c r="Y198" s="14">
        <f>Augmented_Data!$N198*Augmented_Data!$O198</f>
        <v>1320.44</v>
      </c>
      <c r="Z198" s="14">
        <f>Augmented_Data!$Y198+Augmented_Data!$T198</f>
        <v>1389.44</v>
      </c>
      <c r="AA198" s="16">
        <f>IF(Augmented_Data!Q198="0 delivery charge",Augmented_Data!Z198-Augmented_Data!T198,Augmented_Data!Z198*(1-Augmented_Data!Q198))</f>
        <v>1111.5520000000001</v>
      </c>
    </row>
    <row r="199" spans="1:27" x14ac:dyDescent="0.3">
      <c r="A199" s="11" t="s">
        <v>59</v>
      </c>
      <c r="B199" s="11" t="str">
        <f>_xlfn.CONCAT(Augmented_Data!$C199," ",Augmented_Data!$D199)</f>
        <v>Alexandra Smith</v>
      </c>
      <c r="C199" s="11" t="s">
        <v>156</v>
      </c>
      <c r="D199" s="11" t="s">
        <v>240</v>
      </c>
      <c r="E199" s="11">
        <v>70</v>
      </c>
      <c r="F199" s="11" t="s">
        <v>288</v>
      </c>
      <c r="G199" s="11" t="s">
        <v>291</v>
      </c>
      <c r="H199" s="11" t="s">
        <v>340</v>
      </c>
      <c r="I199" s="11" t="s">
        <v>440</v>
      </c>
      <c r="J199" s="11" t="s">
        <v>696</v>
      </c>
      <c r="K199" s="12">
        <v>45045</v>
      </c>
      <c r="L199" s="11" t="s">
        <v>1196</v>
      </c>
      <c r="M199" s="11" t="s">
        <v>1502</v>
      </c>
      <c r="N199" s="11">
        <v>202.54</v>
      </c>
      <c r="O199" s="11">
        <v>5</v>
      </c>
      <c r="P199" s="11" t="s">
        <v>1548</v>
      </c>
      <c r="Q199" s="11" t="str">
        <f>_xlfn.IFS(Augmented_Data!$P199="FLAT8","8%",Augmented_Data!$P199="FLAT10","10%",Augmented_Data!$P199="FLAT15","15%",Augmented_Data!$P199="FLAT20","20%",Augmented_Data!$P199="DEL0","0 delivery charge")</f>
        <v>15%</v>
      </c>
      <c r="R199" s="11">
        <v>1</v>
      </c>
      <c r="S199" s="11" t="str">
        <f>_xlfn.IFS(Augmented_Data!U199-Augmented_Data!K199=Augmented_Data!$R199,"Intime",Augmented_Data!U199-Augmented_Data!K199&lt;Augmented_Data!R199,"Before Time",Augmented_Data!U199-Augmented_Data!K199&gt;Augmented_Data!R199,"Late")</f>
        <v>Late</v>
      </c>
      <c r="T199" s="11">
        <v>47</v>
      </c>
      <c r="U199" s="12">
        <v>45051</v>
      </c>
      <c r="V199" s="11">
        <f>DATEDIF(Augmented_Data!$K199,Augmented_Data!$U199,"D")</f>
        <v>6</v>
      </c>
      <c r="W199" s="11" t="s">
        <v>1748</v>
      </c>
      <c r="X199" s="11">
        <f>Augmented_Data!$Z199-Augmented_Data!$AA199</f>
        <v>158.95500000000004</v>
      </c>
      <c r="Y199" s="11">
        <f>Augmented_Data!$N199*Augmented_Data!$O199</f>
        <v>1012.6999999999999</v>
      </c>
      <c r="Z199" s="11">
        <f>Augmented_Data!$Y199+Augmented_Data!$T199</f>
        <v>1059.6999999999998</v>
      </c>
      <c r="AA199" s="13">
        <f>IF(Augmented_Data!Q199="0 delivery charge",Augmented_Data!Z199-Augmented_Data!T199,Augmented_Data!Z199*(1-Augmented_Data!Q199))</f>
        <v>900.74499999999978</v>
      </c>
    </row>
    <row r="200" spans="1:27" x14ac:dyDescent="0.3">
      <c r="A200" s="14" t="s">
        <v>76</v>
      </c>
      <c r="B200" s="14" t="str">
        <f>_xlfn.CONCAT(Augmented_Data!$C200," ",Augmented_Data!$D200)</f>
        <v>Ashley Romero</v>
      </c>
      <c r="C200" s="14" t="s">
        <v>142</v>
      </c>
      <c r="D200" s="14" t="s">
        <v>254</v>
      </c>
      <c r="E200" s="14">
        <v>35</v>
      </c>
      <c r="F200" s="14" t="s">
        <v>288</v>
      </c>
      <c r="G200" s="14" t="s">
        <v>291</v>
      </c>
      <c r="H200" s="14" t="s">
        <v>357</v>
      </c>
      <c r="I200" s="14" t="s">
        <v>457</v>
      </c>
      <c r="J200" s="14" t="s">
        <v>697</v>
      </c>
      <c r="K200" s="15">
        <v>45253</v>
      </c>
      <c r="L200" s="14" t="s">
        <v>1197</v>
      </c>
      <c r="M200" s="14" t="s">
        <v>1498</v>
      </c>
      <c r="N200" s="14">
        <v>166.28</v>
      </c>
      <c r="O200" s="14">
        <v>4</v>
      </c>
      <c r="P200" s="14" t="s">
        <v>1549</v>
      </c>
      <c r="Q200" s="14" t="str">
        <f>_xlfn.IFS(Augmented_Data!$P200="FLAT8","8%",Augmented_Data!$P200="FLAT10","10%",Augmented_Data!$P200="FLAT15","15%",Augmented_Data!$P200="FLAT20","20%",Augmented_Data!$P200="DEL0","0 delivery charge")</f>
        <v>10%</v>
      </c>
      <c r="R200" s="14">
        <v>4</v>
      </c>
      <c r="S200" s="14" t="str">
        <f>_xlfn.IFS(Augmented_Data!U200-Augmented_Data!K200=Augmented_Data!$R200,"Intime",Augmented_Data!U200-Augmented_Data!K200&lt;Augmented_Data!R200,"Before Time",Augmented_Data!U200-Augmented_Data!K200&gt;Augmented_Data!R200,"Late")</f>
        <v>Intime</v>
      </c>
      <c r="T200" s="14">
        <v>44</v>
      </c>
      <c r="U200" s="15">
        <v>45257</v>
      </c>
      <c r="V200" s="14">
        <f>DATEDIF(Augmented_Data!$K200,Augmented_Data!$U200,"D")</f>
        <v>4</v>
      </c>
      <c r="W200" s="14" t="s">
        <v>1749</v>
      </c>
      <c r="X200" s="14">
        <f>Augmented_Data!$Z200-Augmented_Data!$AA200</f>
        <v>70.912000000000035</v>
      </c>
      <c r="Y200" s="14">
        <f>Augmented_Data!$N200*Augmented_Data!$O200</f>
        <v>665.12</v>
      </c>
      <c r="Z200" s="14">
        <f>Augmented_Data!$Y200+Augmented_Data!$T200</f>
        <v>709.12</v>
      </c>
      <c r="AA200" s="16">
        <f>IF(Augmented_Data!Q200="0 delivery charge",Augmented_Data!Z200-Augmented_Data!T200,Augmented_Data!Z200*(1-Augmented_Data!Q200))</f>
        <v>638.20799999999997</v>
      </c>
    </row>
    <row r="201" spans="1:27" x14ac:dyDescent="0.3">
      <c r="A201" s="11" t="s">
        <v>61</v>
      </c>
      <c r="B201" s="11" t="str">
        <f>_xlfn.CONCAT(Augmented_Data!$C201," ",Augmented_Data!$D201)</f>
        <v>Mary Knight</v>
      </c>
      <c r="C201" s="11" t="s">
        <v>158</v>
      </c>
      <c r="D201" s="11" t="s">
        <v>242</v>
      </c>
      <c r="E201" s="11">
        <v>28</v>
      </c>
      <c r="F201" s="11" t="s">
        <v>290</v>
      </c>
      <c r="G201" s="11" t="s">
        <v>295</v>
      </c>
      <c r="H201" s="11" t="s">
        <v>342</v>
      </c>
      <c r="I201" s="11" t="s">
        <v>442</v>
      </c>
      <c r="J201" s="11" t="s">
        <v>698</v>
      </c>
      <c r="K201" s="12">
        <v>45523</v>
      </c>
      <c r="L201" s="11" t="s">
        <v>1198</v>
      </c>
      <c r="M201" s="11" t="s">
        <v>1545</v>
      </c>
      <c r="N201" s="11">
        <v>292.14999999999998</v>
      </c>
      <c r="O201" s="11">
        <v>2</v>
      </c>
      <c r="P201" s="11" t="s">
        <v>1548</v>
      </c>
      <c r="Q201" s="11" t="str">
        <f>_xlfn.IFS(Augmented_Data!$P201="FLAT8","8%",Augmented_Data!$P201="FLAT10","10%",Augmented_Data!$P201="FLAT15","15%",Augmented_Data!$P201="FLAT20","20%",Augmented_Data!$P201="DEL0","0 delivery charge")</f>
        <v>15%</v>
      </c>
      <c r="R201" s="11">
        <v>4</v>
      </c>
      <c r="S201" s="11" t="str">
        <f>_xlfn.IFS(Augmented_Data!U201-Augmented_Data!K201=Augmented_Data!$R201,"Intime",Augmented_Data!U201-Augmented_Data!K201&lt;Augmented_Data!R201,"Before Time",Augmented_Data!U201-Augmented_Data!K201&gt;Augmented_Data!R201,"Late")</f>
        <v>Before Time</v>
      </c>
      <c r="T201" s="11">
        <v>58</v>
      </c>
      <c r="U201" s="12">
        <v>45526</v>
      </c>
      <c r="V201" s="11">
        <f>DATEDIF(Augmented_Data!$K201,Augmented_Data!$U201,"D")</f>
        <v>3</v>
      </c>
      <c r="W201" s="11" t="s">
        <v>1750</v>
      </c>
      <c r="X201" s="11">
        <f>Augmented_Data!$Z201-Augmented_Data!$AA201</f>
        <v>96.345000000000027</v>
      </c>
      <c r="Y201" s="11">
        <f>Augmented_Data!$N201*Augmented_Data!$O201</f>
        <v>584.29999999999995</v>
      </c>
      <c r="Z201" s="11">
        <f>Augmented_Data!$Y201+Augmented_Data!$T201</f>
        <v>642.29999999999995</v>
      </c>
      <c r="AA201" s="13">
        <f>IF(Augmented_Data!Q201="0 delivery charge",Augmented_Data!Z201-Augmented_Data!T201,Augmented_Data!Z201*(1-Augmented_Data!Q201))</f>
        <v>545.95499999999993</v>
      </c>
    </row>
    <row r="202" spans="1:27" x14ac:dyDescent="0.3">
      <c r="A202" s="14" t="s">
        <v>104</v>
      </c>
      <c r="B202" s="14" t="str">
        <f>_xlfn.CONCAT(Augmented_Data!$C202," ",Augmented_Data!$D202)</f>
        <v>Christine Aguilar</v>
      </c>
      <c r="C202" s="14" t="s">
        <v>123</v>
      </c>
      <c r="D202" s="14" t="s">
        <v>278</v>
      </c>
      <c r="E202" s="14">
        <v>46</v>
      </c>
      <c r="F202" s="14" t="s">
        <v>288</v>
      </c>
      <c r="G202" s="14" t="s">
        <v>291</v>
      </c>
      <c r="H202" s="14" t="s">
        <v>385</v>
      </c>
      <c r="I202" s="14" t="s">
        <v>485</v>
      </c>
      <c r="J202" s="14" t="s">
        <v>699</v>
      </c>
      <c r="K202" s="15">
        <v>45481</v>
      </c>
      <c r="L202" s="14" t="s">
        <v>1199</v>
      </c>
      <c r="M202" s="14" t="s">
        <v>1511</v>
      </c>
      <c r="N202" s="14">
        <v>272.51</v>
      </c>
      <c r="O202" s="14">
        <v>4</v>
      </c>
      <c r="P202" s="14" t="s">
        <v>1547</v>
      </c>
      <c r="Q202" s="14" t="str">
        <f>_xlfn.IFS(Augmented_Data!$P202="FLAT8","8%",Augmented_Data!$P202="FLAT10","10%",Augmented_Data!$P202="FLAT15","15%",Augmented_Data!$P202="FLAT20","20%",Augmented_Data!$P202="DEL0","0 delivery charge")</f>
        <v>0 delivery charge</v>
      </c>
      <c r="R202" s="14">
        <v>7</v>
      </c>
      <c r="S202" s="14" t="str">
        <f>_xlfn.IFS(Augmented_Data!U202-Augmented_Data!K202=Augmented_Data!$R202,"Intime",Augmented_Data!U202-Augmented_Data!K202&lt;Augmented_Data!R202,"Before Time",Augmented_Data!U202-Augmented_Data!K202&gt;Augmented_Data!R202,"Late")</f>
        <v>Before Time</v>
      </c>
      <c r="T202" s="14">
        <v>38</v>
      </c>
      <c r="U202" s="15">
        <v>45482</v>
      </c>
      <c r="V202" s="14">
        <f>DATEDIF(Augmented_Data!$K202,Augmented_Data!$U202,"D")</f>
        <v>1</v>
      </c>
      <c r="W202" s="14" t="s">
        <v>1751</v>
      </c>
      <c r="X202" s="14">
        <f>Augmented_Data!$Z202-Augmented_Data!$AA202</f>
        <v>38</v>
      </c>
      <c r="Y202" s="14">
        <f>Augmented_Data!$N202*Augmented_Data!$O202</f>
        <v>1090.04</v>
      </c>
      <c r="Z202" s="14">
        <f>Augmented_Data!$Y202+Augmented_Data!$T202</f>
        <v>1128.04</v>
      </c>
      <c r="AA202" s="16">
        <f>IF(Augmented_Data!Q202="0 delivery charge",Augmented_Data!Z202-Augmented_Data!T202,Augmented_Data!Z202*(1-Augmented_Data!Q202))</f>
        <v>1090.04</v>
      </c>
    </row>
    <row r="203" spans="1:27" x14ac:dyDescent="0.3">
      <c r="A203" s="11" t="s">
        <v>50</v>
      </c>
      <c r="B203" s="11" t="str">
        <f>_xlfn.CONCAT(Augmented_Data!$C203," ",Augmented_Data!$D203)</f>
        <v>Jenny Estrada</v>
      </c>
      <c r="C203" s="11" t="s">
        <v>148</v>
      </c>
      <c r="D203" s="11" t="s">
        <v>231</v>
      </c>
      <c r="E203" s="11">
        <v>45</v>
      </c>
      <c r="F203" s="11" t="s">
        <v>288</v>
      </c>
      <c r="G203" s="11" t="s">
        <v>292</v>
      </c>
      <c r="H203" s="11" t="s">
        <v>331</v>
      </c>
      <c r="I203" s="11" t="s">
        <v>431</v>
      </c>
      <c r="J203" s="11" t="s">
        <v>700</v>
      </c>
      <c r="K203" s="12">
        <v>45079</v>
      </c>
      <c r="L203" s="11" t="s">
        <v>1200</v>
      </c>
      <c r="M203" s="11" t="s">
        <v>1524</v>
      </c>
      <c r="N203" s="11">
        <v>157.63999999999999</v>
      </c>
      <c r="O203" s="11">
        <v>3</v>
      </c>
      <c r="P203" s="11" t="s">
        <v>1550</v>
      </c>
      <c r="Q203" s="11" t="str">
        <f>_xlfn.IFS(Augmented_Data!$P203="FLAT8","8%",Augmented_Data!$P203="FLAT10","10%",Augmented_Data!$P203="FLAT15","15%",Augmented_Data!$P203="FLAT20","20%",Augmented_Data!$P203="DEL0","0 delivery charge")</f>
        <v>20%</v>
      </c>
      <c r="R203" s="11">
        <v>2</v>
      </c>
      <c r="S203" s="11" t="str">
        <f>_xlfn.IFS(Augmented_Data!U203-Augmented_Data!K203=Augmented_Data!$R203,"Intime",Augmented_Data!U203-Augmented_Data!K203&lt;Augmented_Data!R203,"Before Time",Augmented_Data!U203-Augmented_Data!K203&gt;Augmented_Data!R203,"Late")</f>
        <v>Late</v>
      </c>
      <c r="T203" s="11">
        <v>47</v>
      </c>
      <c r="U203" s="12">
        <v>45085</v>
      </c>
      <c r="V203" s="11">
        <f>DATEDIF(Augmented_Data!$K203,Augmented_Data!$U203,"D")</f>
        <v>6</v>
      </c>
      <c r="W203" s="11" t="s">
        <v>1752</v>
      </c>
      <c r="X203" s="11">
        <f>Augmented_Data!$Z203-Augmented_Data!$AA203</f>
        <v>103.98399999999998</v>
      </c>
      <c r="Y203" s="11">
        <f>Augmented_Data!$N203*Augmented_Data!$O203</f>
        <v>472.91999999999996</v>
      </c>
      <c r="Z203" s="11">
        <f>Augmented_Data!$Y203+Augmented_Data!$T203</f>
        <v>519.91999999999996</v>
      </c>
      <c r="AA203" s="13">
        <f>IF(Augmented_Data!Q203="0 delivery charge",Augmented_Data!Z203-Augmented_Data!T203,Augmented_Data!Z203*(1-Augmented_Data!Q203))</f>
        <v>415.93599999999998</v>
      </c>
    </row>
    <row r="204" spans="1:27" x14ac:dyDescent="0.3">
      <c r="A204" s="14" t="s">
        <v>49</v>
      </c>
      <c r="B204" s="14" t="str">
        <f>_xlfn.CONCAT(Augmented_Data!$C204," ",Augmented_Data!$D204)</f>
        <v>Valerie Carr</v>
      </c>
      <c r="C204" s="14" t="s">
        <v>147</v>
      </c>
      <c r="D204" s="14" t="s">
        <v>230</v>
      </c>
      <c r="E204" s="14">
        <v>26</v>
      </c>
      <c r="F204" s="14" t="s">
        <v>290</v>
      </c>
      <c r="G204" s="14" t="s">
        <v>297</v>
      </c>
      <c r="H204" s="14" t="s">
        <v>330</v>
      </c>
      <c r="I204" s="14" t="s">
        <v>430</v>
      </c>
      <c r="J204" s="14" t="s">
        <v>701</v>
      </c>
      <c r="K204" s="15">
        <v>45053</v>
      </c>
      <c r="L204" s="14" t="s">
        <v>1201</v>
      </c>
      <c r="M204" s="14" t="s">
        <v>1520</v>
      </c>
      <c r="N204" s="14">
        <v>62.42</v>
      </c>
      <c r="O204" s="14">
        <v>3</v>
      </c>
      <c r="P204" s="14" t="s">
        <v>1548</v>
      </c>
      <c r="Q204" s="14" t="str">
        <f>_xlfn.IFS(Augmented_Data!$P204="FLAT8","8%",Augmented_Data!$P204="FLAT10","10%",Augmented_Data!$P204="FLAT15","15%",Augmented_Data!$P204="FLAT20","20%",Augmented_Data!$P204="DEL0","0 delivery charge")</f>
        <v>15%</v>
      </c>
      <c r="R204" s="14">
        <v>5</v>
      </c>
      <c r="S204" s="14" t="str">
        <f>_xlfn.IFS(Augmented_Data!U204-Augmented_Data!K204=Augmented_Data!$R204,"Intime",Augmented_Data!U204-Augmented_Data!K204&lt;Augmented_Data!R204,"Before Time",Augmented_Data!U204-Augmented_Data!K204&gt;Augmented_Data!R204,"Late")</f>
        <v>Intime</v>
      </c>
      <c r="T204" s="14">
        <v>62</v>
      </c>
      <c r="U204" s="15">
        <v>45058</v>
      </c>
      <c r="V204" s="14">
        <f>DATEDIF(Augmented_Data!$K204,Augmented_Data!$U204,"D")</f>
        <v>5</v>
      </c>
      <c r="W204" s="14" t="s">
        <v>1753</v>
      </c>
      <c r="X204" s="14">
        <f>Augmented_Data!$Z204-Augmented_Data!$AA204</f>
        <v>37.38900000000001</v>
      </c>
      <c r="Y204" s="14">
        <f>Augmented_Data!$N204*Augmented_Data!$O204</f>
        <v>187.26</v>
      </c>
      <c r="Z204" s="14">
        <f>Augmented_Data!$Y204+Augmented_Data!$T204</f>
        <v>249.26</v>
      </c>
      <c r="AA204" s="16">
        <f>IF(Augmented_Data!Q204="0 delivery charge",Augmented_Data!Z204-Augmented_Data!T204,Augmented_Data!Z204*(1-Augmented_Data!Q204))</f>
        <v>211.87099999999998</v>
      </c>
    </row>
    <row r="205" spans="1:27" x14ac:dyDescent="0.3">
      <c r="A205" s="11" t="s">
        <v>71</v>
      </c>
      <c r="B205" s="11" t="str">
        <f>_xlfn.CONCAT(Augmented_Data!$C205," ",Augmented_Data!$D205)</f>
        <v>Katherine Weber</v>
      </c>
      <c r="C205" s="11" t="s">
        <v>165</v>
      </c>
      <c r="D205" s="11" t="s">
        <v>249</v>
      </c>
      <c r="E205" s="11">
        <v>42</v>
      </c>
      <c r="F205" s="11" t="s">
        <v>290</v>
      </c>
      <c r="G205" s="11" t="s">
        <v>295</v>
      </c>
      <c r="H205" s="11" t="s">
        <v>352</v>
      </c>
      <c r="I205" s="11" t="s">
        <v>452</v>
      </c>
      <c r="J205" s="11" t="s">
        <v>702</v>
      </c>
      <c r="K205" s="12">
        <v>45495</v>
      </c>
      <c r="L205" s="11" t="s">
        <v>1202</v>
      </c>
      <c r="M205" s="11" t="s">
        <v>1503</v>
      </c>
      <c r="N205" s="11">
        <v>363.64</v>
      </c>
      <c r="O205" s="11">
        <v>3</v>
      </c>
      <c r="P205" s="11" t="s">
        <v>2047</v>
      </c>
      <c r="Q205" s="11" t="str">
        <f>_xlfn.IFS(Augmented_Data!$P205="FLAT8","8%",Augmented_Data!$P205="FLAT10","10%",Augmented_Data!$P205="FLAT15","15%",Augmented_Data!$P205="FLAT20","20%",Augmented_Data!$P205="DEL0","0 delivery charge")</f>
        <v>8%</v>
      </c>
      <c r="R205" s="11">
        <v>5</v>
      </c>
      <c r="S205" s="11" t="str">
        <f>_xlfn.IFS(Augmented_Data!U205-Augmented_Data!K205=Augmented_Data!$R205,"Intime",Augmented_Data!U205-Augmented_Data!K205&lt;Augmented_Data!R205,"Before Time",Augmented_Data!U205-Augmented_Data!K205&gt;Augmented_Data!R205,"Late")</f>
        <v>Late</v>
      </c>
      <c r="T205" s="11">
        <v>53</v>
      </c>
      <c r="U205" s="12">
        <v>45502</v>
      </c>
      <c r="V205" s="11">
        <f>DATEDIF(Augmented_Data!$K205,Augmented_Data!$U205,"D")</f>
        <v>7</v>
      </c>
      <c r="W205" s="11" t="s">
        <v>1754</v>
      </c>
      <c r="X205" s="11">
        <f>Augmented_Data!$Z205-Augmented_Data!$AA205</f>
        <v>91.513599999999997</v>
      </c>
      <c r="Y205" s="11">
        <f>Augmented_Data!$N205*Augmented_Data!$O205</f>
        <v>1090.92</v>
      </c>
      <c r="Z205" s="11">
        <f>Augmented_Data!$Y205+Augmented_Data!$T205</f>
        <v>1143.92</v>
      </c>
      <c r="AA205" s="13">
        <f>IF(Augmented_Data!Q205="0 delivery charge",Augmented_Data!Z205-Augmented_Data!T205,Augmented_Data!Z205*(1-Augmented_Data!Q205))</f>
        <v>1052.4064000000001</v>
      </c>
    </row>
    <row r="206" spans="1:27" x14ac:dyDescent="0.3">
      <c r="A206" s="14" t="s">
        <v>74</v>
      </c>
      <c r="B206" s="14" t="str">
        <f>_xlfn.CONCAT(Augmented_Data!$C206," ",Augmented_Data!$D206)</f>
        <v>Jodi Whitney</v>
      </c>
      <c r="C206" s="14" t="s">
        <v>167</v>
      </c>
      <c r="D206" s="14" t="s">
        <v>252</v>
      </c>
      <c r="E206" s="14">
        <v>33</v>
      </c>
      <c r="F206" s="14" t="s">
        <v>290</v>
      </c>
      <c r="G206" s="14" t="s">
        <v>297</v>
      </c>
      <c r="H206" s="14" t="s">
        <v>355</v>
      </c>
      <c r="I206" s="14" t="s">
        <v>455</v>
      </c>
      <c r="J206" s="14" t="s">
        <v>703</v>
      </c>
      <c r="K206" s="15">
        <v>45125</v>
      </c>
      <c r="L206" s="14" t="s">
        <v>1203</v>
      </c>
      <c r="M206" s="14" t="s">
        <v>1535</v>
      </c>
      <c r="N206" s="14">
        <v>477.52</v>
      </c>
      <c r="O206" s="14">
        <v>4</v>
      </c>
      <c r="P206" s="14" t="s">
        <v>1550</v>
      </c>
      <c r="Q206" s="14" t="str">
        <f>_xlfn.IFS(Augmented_Data!$P206="FLAT8","8%",Augmented_Data!$P206="FLAT10","10%",Augmented_Data!$P206="FLAT15","15%",Augmented_Data!$P206="FLAT20","20%",Augmented_Data!$P206="DEL0","0 delivery charge")</f>
        <v>20%</v>
      </c>
      <c r="R206" s="14">
        <v>5</v>
      </c>
      <c r="S206" s="14" t="str">
        <f>_xlfn.IFS(Augmented_Data!U206-Augmented_Data!K206=Augmented_Data!$R206,"Intime",Augmented_Data!U206-Augmented_Data!K206&lt;Augmented_Data!R206,"Before Time",Augmented_Data!U206-Augmented_Data!K206&gt;Augmented_Data!R206,"Late")</f>
        <v>Before Time</v>
      </c>
      <c r="T206" s="14">
        <v>55</v>
      </c>
      <c r="U206" s="15">
        <v>45127</v>
      </c>
      <c r="V206" s="14">
        <f>DATEDIF(Augmented_Data!$K206,Augmented_Data!$U206,"D")</f>
        <v>2</v>
      </c>
      <c r="W206" s="14" t="s">
        <v>1755</v>
      </c>
      <c r="X206" s="14">
        <f>Augmented_Data!$Z206-Augmented_Data!$AA206</f>
        <v>393.01599999999985</v>
      </c>
      <c r="Y206" s="14">
        <f>Augmented_Data!$N206*Augmented_Data!$O206</f>
        <v>1910.08</v>
      </c>
      <c r="Z206" s="14">
        <f>Augmented_Data!$Y206+Augmented_Data!$T206</f>
        <v>1965.08</v>
      </c>
      <c r="AA206" s="16">
        <f>IF(Augmented_Data!Q206="0 delivery charge",Augmented_Data!Z206-Augmented_Data!T206,Augmented_Data!Z206*(1-Augmented_Data!Q206))</f>
        <v>1572.0640000000001</v>
      </c>
    </row>
    <row r="207" spans="1:27" x14ac:dyDescent="0.3">
      <c r="A207" s="11" t="s">
        <v>90</v>
      </c>
      <c r="B207" s="11" t="str">
        <f>_xlfn.CONCAT(Augmented_Data!$C207," ",Augmented_Data!$D207)</f>
        <v>Mark Summers</v>
      </c>
      <c r="C207" s="11" t="s">
        <v>139</v>
      </c>
      <c r="D207" s="11" t="s">
        <v>266</v>
      </c>
      <c r="E207" s="11">
        <v>55</v>
      </c>
      <c r="F207" s="11" t="s">
        <v>289</v>
      </c>
      <c r="G207" s="11" t="s">
        <v>293</v>
      </c>
      <c r="H207" s="11" t="s">
        <v>371</v>
      </c>
      <c r="I207" s="11" t="s">
        <v>471</v>
      </c>
      <c r="J207" s="11" t="s">
        <v>612</v>
      </c>
      <c r="K207" s="12">
        <v>45168</v>
      </c>
      <c r="L207" s="11" t="s">
        <v>1112</v>
      </c>
      <c r="M207" s="11" t="s">
        <v>1516</v>
      </c>
      <c r="N207" s="11">
        <v>126.19</v>
      </c>
      <c r="O207" s="11">
        <v>2</v>
      </c>
      <c r="P207" s="11" t="s">
        <v>1547</v>
      </c>
      <c r="Q207" s="11" t="str">
        <f>_xlfn.IFS(Augmented_Data!$P207="FLAT8","8%",Augmented_Data!$P207="FLAT10","10%",Augmented_Data!$P207="FLAT15","15%",Augmented_Data!$P207="FLAT20","20%",Augmented_Data!$P207="DEL0","0 delivery charge")</f>
        <v>0 delivery charge</v>
      </c>
      <c r="R207" s="11">
        <v>5</v>
      </c>
      <c r="S207" s="11" t="str">
        <f>_xlfn.IFS(Augmented_Data!U207-Augmented_Data!K207=Augmented_Data!$R207,"Intime",Augmented_Data!U207-Augmented_Data!K207&lt;Augmented_Data!R207,"Before Time",Augmented_Data!U207-Augmented_Data!K207&gt;Augmented_Data!R207,"Late")</f>
        <v>Late</v>
      </c>
      <c r="T207" s="11">
        <v>59</v>
      </c>
      <c r="U207" s="12">
        <v>45174</v>
      </c>
      <c r="V207" s="11">
        <f>DATEDIF(Augmented_Data!$K207,Augmented_Data!$U207,"D")</f>
        <v>6</v>
      </c>
      <c r="W207" s="11" t="s">
        <v>1664</v>
      </c>
      <c r="X207" s="11">
        <f>Augmented_Data!$Z207-Augmented_Data!$AA207</f>
        <v>59</v>
      </c>
      <c r="Y207" s="11">
        <f>Augmented_Data!$N207*Augmented_Data!$O207</f>
        <v>252.38</v>
      </c>
      <c r="Z207" s="11">
        <f>Augmented_Data!$Y207+Augmented_Data!$T207</f>
        <v>311.38</v>
      </c>
      <c r="AA207" s="13">
        <f>IF(Augmented_Data!Q207="0 delivery charge",Augmented_Data!Z207-Augmented_Data!T207,Augmented_Data!Z207*(1-Augmented_Data!Q207))</f>
        <v>252.38</v>
      </c>
    </row>
    <row r="208" spans="1:27" x14ac:dyDescent="0.3">
      <c r="A208" s="14" t="s">
        <v>89</v>
      </c>
      <c r="B208" s="14" t="str">
        <f>_xlfn.CONCAT(Augmented_Data!$C208," ",Augmented_Data!$D208)</f>
        <v>Melissa Levy</v>
      </c>
      <c r="C208" s="14" t="s">
        <v>179</v>
      </c>
      <c r="D208" s="14" t="s">
        <v>265</v>
      </c>
      <c r="E208" s="14">
        <v>30</v>
      </c>
      <c r="F208" s="14" t="s">
        <v>288</v>
      </c>
      <c r="G208" s="14" t="s">
        <v>293</v>
      </c>
      <c r="H208" s="14" t="s">
        <v>370</v>
      </c>
      <c r="I208" s="14" t="s">
        <v>470</v>
      </c>
      <c r="J208" s="14" t="s">
        <v>705</v>
      </c>
      <c r="K208" s="15">
        <v>45320</v>
      </c>
      <c r="L208" s="14" t="s">
        <v>1205</v>
      </c>
      <c r="M208" s="14" t="s">
        <v>1532</v>
      </c>
      <c r="N208" s="14">
        <v>87.09</v>
      </c>
      <c r="O208" s="14">
        <v>1</v>
      </c>
      <c r="P208" s="14" t="s">
        <v>1549</v>
      </c>
      <c r="Q208" s="14" t="str">
        <f>_xlfn.IFS(Augmented_Data!$P208="FLAT8","8%",Augmented_Data!$P208="FLAT10","10%",Augmented_Data!$P208="FLAT15","15%",Augmented_Data!$P208="FLAT20","20%",Augmented_Data!$P208="DEL0","0 delivery charge")</f>
        <v>10%</v>
      </c>
      <c r="R208" s="14">
        <v>1</v>
      </c>
      <c r="S208" s="14" t="str">
        <f>_xlfn.IFS(Augmented_Data!U208-Augmented_Data!K208=Augmented_Data!$R208,"Intime",Augmented_Data!U208-Augmented_Data!K208&lt;Augmented_Data!R208,"Before Time",Augmented_Data!U208-Augmented_Data!K208&gt;Augmented_Data!R208,"Late")</f>
        <v>Intime</v>
      </c>
      <c r="T208" s="14">
        <v>61</v>
      </c>
      <c r="U208" s="15">
        <v>45321</v>
      </c>
      <c r="V208" s="14">
        <f>DATEDIF(Augmented_Data!$K208,Augmented_Data!$U208,"D")</f>
        <v>1</v>
      </c>
      <c r="W208" s="14" t="s">
        <v>1757</v>
      </c>
      <c r="X208" s="14">
        <f>Augmented_Data!$Z208-Augmented_Data!$AA208</f>
        <v>14.808999999999997</v>
      </c>
      <c r="Y208" s="14">
        <f>Augmented_Data!$N208*Augmented_Data!$O208</f>
        <v>87.09</v>
      </c>
      <c r="Z208" s="14">
        <f>Augmented_Data!$Y208+Augmented_Data!$T208</f>
        <v>148.09</v>
      </c>
      <c r="AA208" s="16">
        <f>IF(Augmented_Data!Q208="0 delivery charge",Augmented_Data!Z208-Augmented_Data!T208,Augmented_Data!Z208*(1-Augmented_Data!Q208))</f>
        <v>133.28100000000001</v>
      </c>
    </row>
    <row r="209" spans="1:27" x14ac:dyDescent="0.3">
      <c r="A209" s="11" t="s">
        <v>58</v>
      </c>
      <c r="B209" s="11" t="str">
        <f>_xlfn.CONCAT(Augmented_Data!$C209," ",Augmented_Data!$D209)</f>
        <v>Jason Lopez</v>
      </c>
      <c r="C209" s="11" t="s">
        <v>140</v>
      </c>
      <c r="D209" s="11" t="s">
        <v>239</v>
      </c>
      <c r="E209" s="11">
        <v>40</v>
      </c>
      <c r="F209" s="11" t="s">
        <v>290</v>
      </c>
      <c r="G209" s="11" t="s">
        <v>297</v>
      </c>
      <c r="H209" s="11" t="s">
        <v>339</v>
      </c>
      <c r="I209" s="11" t="s">
        <v>439</v>
      </c>
      <c r="J209" s="11" t="s">
        <v>706</v>
      </c>
      <c r="K209" s="12">
        <v>45074</v>
      </c>
      <c r="L209" s="11" t="s">
        <v>1206</v>
      </c>
      <c r="M209" s="11" t="s">
        <v>1521</v>
      </c>
      <c r="N209" s="11">
        <v>110.95</v>
      </c>
      <c r="O209" s="11">
        <v>3</v>
      </c>
      <c r="P209" s="11" t="s">
        <v>1549</v>
      </c>
      <c r="Q209" s="11" t="str">
        <f>_xlfn.IFS(Augmented_Data!$P209="FLAT8","8%",Augmented_Data!$P209="FLAT10","10%",Augmented_Data!$P209="FLAT15","15%",Augmented_Data!$P209="FLAT20","20%",Augmented_Data!$P209="DEL0","0 delivery charge")</f>
        <v>10%</v>
      </c>
      <c r="R209" s="11">
        <v>6</v>
      </c>
      <c r="S209" s="11" t="str">
        <f>_xlfn.IFS(Augmented_Data!U209-Augmented_Data!K209=Augmented_Data!$R209,"Intime",Augmented_Data!U209-Augmented_Data!K209&lt;Augmented_Data!R209,"Before Time",Augmented_Data!U209-Augmented_Data!K209&gt;Augmented_Data!R209,"Late")</f>
        <v>Before Time</v>
      </c>
      <c r="T209" s="11">
        <v>65</v>
      </c>
      <c r="U209" s="12">
        <v>45079</v>
      </c>
      <c r="V209" s="11">
        <f>DATEDIF(Augmented_Data!$K209,Augmented_Data!$U209,"D")</f>
        <v>5</v>
      </c>
      <c r="W209" s="11" t="s">
        <v>1758</v>
      </c>
      <c r="X209" s="11">
        <f>Augmented_Data!$Z209-Augmented_Data!$AA209</f>
        <v>39.784999999999968</v>
      </c>
      <c r="Y209" s="11">
        <f>Augmented_Data!$N209*Augmented_Data!$O209</f>
        <v>332.85</v>
      </c>
      <c r="Z209" s="11">
        <f>Augmented_Data!$Y209+Augmented_Data!$T209</f>
        <v>397.85</v>
      </c>
      <c r="AA209" s="13">
        <f>IF(Augmented_Data!Q209="0 delivery charge",Augmented_Data!Z209-Augmented_Data!T209,Augmented_Data!Z209*(1-Augmented_Data!Q209))</f>
        <v>358.06500000000005</v>
      </c>
    </row>
    <row r="210" spans="1:27" x14ac:dyDescent="0.3">
      <c r="A210" s="14" t="s">
        <v>80</v>
      </c>
      <c r="B210" s="14" t="str">
        <f>_xlfn.CONCAT(Augmented_Data!$C210," ",Augmented_Data!$D210)</f>
        <v>Amy Ellis</v>
      </c>
      <c r="C210" s="14" t="s">
        <v>131</v>
      </c>
      <c r="D210" s="14" t="s">
        <v>257</v>
      </c>
      <c r="E210" s="14">
        <v>44</v>
      </c>
      <c r="F210" s="14" t="s">
        <v>290</v>
      </c>
      <c r="G210" s="14" t="s">
        <v>296</v>
      </c>
      <c r="H210" s="14" t="s">
        <v>361</v>
      </c>
      <c r="I210" s="14" t="s">
        <v>461</v>
      </c>
      <c r="J210" s="14" t="s">
        <v>707</v>
      </c>
      <c r="K210" s="15">
        <v>45285</v>
      </c>
      <c r="L210" s="14" t="s">
        <v>1207</v>
      </c>
      <c r="M210" s="14" t="s">
        <v>1546</v>
      </c>
      <c r="N210" s="14">
        <v>33.49</v>
      </c>
      <c r="O210" s="14">
        <v>1</v>
      </c>
      <c r="P210" s="14" t="s">
        <v>2047</v>
      </c>
      <c r="Q210" s="14" t="str">
        <f>_xlfn.IFS(Augmented_Data!$P210="FLAT8","8%",Augmented_Data!$P210="FLAT10","10%",Augmented_Data!$P210="FLAT15","15%",Augmented_Data!$P210="FLAT20","20%",Augmented_Data!$P210="DEL0","0 delivery charge")</f>
        <v>8%</v>
      </c>
      <c r="R210" s="14">
        <v>2</v>
      </c>
      <c r="S210" s="14" t="str">
        <f>_xlfn.IFS(Augmented_Data!U210-Augmented_Data!K210=Augmented_Data!$R210,"Intime",Augmented_Data!U210-Augmented_Data!K210&lt;Augmented_Data!R210,"Before Time",Augmented_Data!U210-Augmented_Data!K210&gt;Augmented_Data!R210,"Late")</f>
        <v>Before Time</v>
      </c>
      <c r="T210" s="14">
        <v>67</v>
      </c>
      <c r="U210" s="15">
        <v>45286</v>
      </c>
      <c r="V210" s="14">
        <f>DATEDIF(Augmented_Data!$K210,Augmented_Data!$U210,"D")</f>
        <v>1</v>
      </c>
      <c r="W210" s="14" t="s">
        <v>1759</v>
      </c>
      <c r="X210" s="14">
        <f>Augmented_Data!$Z210-Augmented_Data!$AA210</f>
        <v>8.0391999999999939</v>
      </c>
      <c r="Y210" s="14">
        <f>Augmented_Data!$N210*Augmented_Data!$O210</f>
        <v>33.49</v>
      </c>
      <c r="Z210" s="14">
        <f>Augmented_Data!$Y210+Augmented_Data!$T210</f>
        <v>100.49000000000001</v>
      </c>
      <c r="AA210" s="16">
        <f>IF(Augmented_Data!Q210="0 delivery charge",Augmented_Data!Z210-Augmented_Data!T210,Augmented_Data!Z210*(1-Augmented_Data!Q210))</f>
        <v>92.450800000000015</v>
      </c>
    </row>
    <row r="211" spans="1:27" x14ac:dyDescent="0.3">
      <c r="A211" s="11" t="s">
        <v>60</v>
      </c>
      <c r="B211" s="11" t="str">
        <f>_xlfn.CONCAT(Augmented_Data!$C211," ",Augmented_Data!$D211)</f>
        <v>Amanda Howard</v>
      </c>
      <c r="C211" s="11" t="s">
        <v>157</v>
      </c>
      <c r="D211" s="11" t="s">
        <v>241</v>
      </c>
      <c r="E211" s="11">
        <v>52</v>
      </c>
      <c r="F211" s="11" t="s">
        <v>290</v>
      </c>
      <c r="G211" s="11" t="s">
        <v>298</v>
      </c>
      <c r="H211" s="11" t="s">
        <v>341</v>
      </c>
      <c r="I211" s="11" t="s">
        <v>441</v>
      </c>
      <c r="J211" s="11" t="s">
        <v>708</v>
      </c>
      <c r="K211" s="12">
        <v>45001</v>
      </c>
      <c r="L211" s="11" t="s">
        <v>1208</v>
      </c>
      <c r="M211" s="11" t="s">
        <v>1534</v>
      </c>
      <c r="N211" s="11">
        <v>425.59</v>
      </c>
      <c r="O211" s="11">
        <v>3</v>
      </c>
      <c r="P211" s="11" t="s">
        <v>2047</v>
      </c>
      <c r="Q211" s="11" t="str">
        <f>_xlfn.IFS(Augmented_Data!$P211="FLAT8","8%",Augmented_Data!$P211="FLAT10","10%",Augmented_Data!$P211="FLAT15","15%",Augmented_Data!$P211="FLAT20","20%",Augmented_Data!$P211="DEL0","0 delivery charge")</f>
        <v>8%</v>
      </c>
      <c r="R211" s="11">
        <v>7</v>
      </c>
      <c r="S211" s="11" t="str">
        <f>_xlfn.IFS(Augmented_Data!U211-Augmented_Data!K211=Augmented_Data!$R211,"Intime",Augmented_Data!U211-Augmented_Data!K211&lt;Augmented_Data!R211,"Before Time",Augmented_Data!U211-Augmented_Data!K211&gt;Augmented_Data!R211,"Late")</f>
        <v>Before Time</v>
      </c>
      <c r="T211" s="11">
        <v>68</v>
      </c>
      <c r="U211" s="12">
        <v>45005</v>
      </c>
      <c r="V211" s="11">
        <f>DATEDIF(Augmented_Data!$K211,Augmented_Data!$U211,"D")</f>
        <v>4</v>
      </c>
      <c r="W211" s="11" t="s">
        <v>1276</v>
      </c>
      <c r="X211" s="11">
        <f>Augmented_Data!$Z211-Augmented_Data!$AA211</f>
        <v>107.58159999999998</v>
      </c>
      <c r="Y211" s="11">
        <f>Augmented_Data!$N211*Augmented_Data!$O211</f>
        <v>1276.77</v>
      </c>
      <c r="Z211" s="11">
        <f>Augmented_Data!$Y211+Augmented_Data!$T211</f>
        <v>1344.77</v>
      </c>
      <c r="AA211" s="13">
        <f>IF(Augmented_Data!Q211="0 delivery charge",Augmented_Data!Z211-Augmented_Data!T211,Augmented_Data!Z211*(1-Augmented_Data!Q211))</f>
        <v>1237.1884</v>
      </c>
    </row>
    <row r="212" spans="1:27" x14ac:dyDescent="0.3">
      <c r="A212" s="14" t="s">
        <v>90</v>
      </c>
      <c r="B212" s="14" t="str">
        <f>_xlfn.CONCAT(Augmented_Data!$C212," ",Augmented_Data!$D212)</f>
        <v>Mark Summers</v>
      </c>
      <c r="C212" s="14" t="s">
        <v>139</v>
      </c>
      <c r="D212" s="14" t="s">
        <v>266</v>
      </c>
      <c r="E212" s="14">
        <v>55</v>
      </c>
      <c r="F212" s="14" t="s">
        <v>289</v>
      </c>
      <c r="G212" s="14" t="s">
        <v>293</v>
      </c>
      <c r="H212" s="14" t="s">
        <v>371</v>
      </c>
      <c r="I212" s="14" t="s">
        <v>471</v>
      </c>
      <c r="J212" s="14" t="s">
        <v>704</v>
      </c>
      <c r="K212" s="15">
        <v>45039</v>
      </c>
      <c r="L212" s="14" t="s">
        <v>1204</v>
      </c>
      <c r="M212" s="14" t="s">
        <v>1499</v>
      </c>
      <c r="N212" s="14">
        <v>441.03</v>
      </c>
      <c r="O212" s="14">
        <v>5</v>
      </c>
      <c r="P212" s="14" t="s">
        <v>1548</v>
      </c>
      <c r="Q212" s="14" t="str">
        <f>_xlfn.IFS(Augmented_Data!$P212="FLAT8","8%",Augmented_Data!$P212="FLAT10","10%",Augmented_Data!$P212="FLAT15","15%",Augmented_Data!$P212="FLAT20","20%",Augmented_Data!$P212="DEL0","0 delivery charge")</f>
        <v>15%</v>
      </c>
      <c r="R212" s="14">
        <v>3</v>
      </c>
      <c r="S212" s="14" t="str">
        <f>_xlfn.IFS(Augmented_Data!U212-Augmented_Data!K212=Augmented_Data!$R212,"Intime",Augmented_Data!U212-Augmented_Data!K212&lt;Augmented_Data!R212,"Before Time",Augmented_Data!U212-Augmented_Data!K212&gt;Augmented_Data!R212,"Late")</f>
        <v>Late</v>
      </c>
      <c r="T212" s="14">
        <v>37</v>
      </c>
      <c r="U212" s="15">
        <v>45044</v>
      </c>
      <c r="V212" s="14">
        <f>DATEDIF(Augmented_Data!$K212,Augmented_Data!$U212,"D")</f>
        <v>5</v>
      </c>
      <c r="W212" s="14" t="s">
        <v>1756</v>
      </c>
      <c r="X212" s="14">
        <f>Augmented_Data!$Z212-Augmented_Data!$AA212</f>
        <v>336.32249999999999</v>
      </c>
      <c r="Y212" s="14">
        <f>Augmented_Data!$N212*Augmented_Data!$O212</f>
        <v>2205.1499999999996</v>
      </c>
      <c r="Z212" s="14">
        <f>Augmented_Data!$Y212+Augmented_Data!$T212</f>
        <v>2242.1499999999996</v>
      </c>
      <c r="AA212" s="16">
        <f>IF(Augmented_Data!Q212="0 delivery charge",Augmented_Data!Z212-Augmented_Data!T212,Augmented_Data!Z212*(1-Augmented_Data!Q212))</f>
        <v>1905.8274999999996</v>
      </c>
    </row>
    <row r="213" spans="1:27" x14ac:dyDescent="0.3">
      <c r="A213" s="11" t="s">
        <v>42</v>
      </c>
      <c r="B213" s="11" t="str">
        <f>_xlfn.CONCAT(Augmented_Data!$C213," ",Augmented_Data!$D213)</f>
        <v>Jason Nguyen</v>
      </c>
      <c r="C213" s="11" t="s">
        <v>140</v>
      </c>
      <c r="D213" s="11" t="s">
        <v>223</v>
      </c>
      <c r="E213" s="11">
        <v>51</v>
      </c>
      <c r="F213" s="11" t="s">
        <v>290</v>
      </c>
      <c r="G213" s="11" t="s">
        <v>294</v>
      </c>
      <c r="H213" s="11" t="s">
        <v>323</v>
      </c>
      <c r="I213" s="11" t="s">
        <v>423</v>
      </c>
      <c r="J213" s="11" t="s">
        <v>996</v>
      </c>
      <c r="K213" s="12">
        <v>45339</v>
      </c>
      <c r="L213" s="11" t="s">
        <v>1494</v>
      </c>
      <c r="M213" s="11" t="s">
        <v>1523</v>
      </c>
      <c r="N213" s="11">
        <v>129.75</v>
      </c>
      <c r="O213" s="11">
        <v>3</v>
      </c>
      <c r="P213" s="11" t="s">
        <v>1548</v>
      </c>
      <c r="Q213" s="11" t="str">
        <f>_xlfn.IFS(Augmented_Data!$P213="FLAT8","8%",Augmented_Data!$P213="FLAT10","10%",Augmented_Data!$P213="FLAT15","15%",Augmented_Data!$P213="FLAT20","20%",Augmented_Data!$P213="DEL0","0 delivery charge")</f>
        <v>15%</v>
      </c>
      <c r="R213" s="11">
        <v>5</v>
      </c>
      <c r="S213" s="11" t="str">
        <f>_xlfn.IFS(Augmented_Data!U213-Augmented_Data!K213=Augmented_Data!$R213,"Intime",Augmented_Data!U213-Augmented_Data!K213&lt;Augmented_Data!R213,"Before Time",Augmented_Data!U213-Augmented_Data!K213&gt;Augmented_Data!R213,"Late")</f>
        <v>Before Time</v>
      </c>
      <c r="T213" s="11">
        <v>37</v>
      </c>
      <c r="U213" s="12">
        <v>45341</v>
      </c>
      <c r="V213" s="11">
        <f>DATEDIF(Augmented_Data!$K213,Augmented_Data!$U213,"D")</f>
        <v>2</v>
      </c>
      <c r="W213" s="11" t="s">
        <v>2044</v>
      </c>
      <c r="X213" s="11">
        <f>Augmented_Data!$Z213-Augmented_Data!$AA213</f>
        <v>63.9375</v>
      </c>
      <c r="Y213" s="11">
        <f>Augmented_Data!$N213*Augmented_Data!$O213</f>
        <v>389.25</v>
      </c>
      <c r="Z213" s="11">
        <f>Augmented_Data!$Y213+Augmented_Data!$T213</f>
        <v>426.25</v>
      </c>
      <c r="AA213" s="13">
        <f>IF(Augmented_Data!Q213="0 delivery charge",Augmented_Data!Z213-Augmented_Data!T213,Augmented_Data!Z213*(1-Augmented_Data!Q213))</f>
        <v>362.3125</v>
      </c>
    </row>
    <row r="214" spans="1:27" x14ac:dyDescent="0.3">
      <c r="A214" s="14" t="s">
        <v>103</v>
      </c>
      <c r="B214" s="14" t="str">
        <f>_xlfn.CONCAT(Augmented_Data!$C214," ",Augmented_Data!$D214)</f>
        <v>Gary Huff</v>
      </c>
      <c r="C214" s="14" t="s">
        <v>191</v>
      </c>
      <c r="D214" s="14" t="s">
        <v>277</v>
      </c>
      <c r="E214" s="14">
        <v>18</v>
      </c>
      <c r="F214" s="14" t="s">
        <v>288</v>
      </c>
      <c r="G214" s="14" t="s">
        <v>295</v>
      </c>
      <c r="H214" s="14" t="s">
        <v>384</v>
      </c>
      <c r="I214" s="14" t="s">
        <v>484</v>
      </c>
      <c r="J214" s="14" t="s">
        <v>677</v>
      </c>
      <c r="K214" s="15">
        <v>45349</v>
      </c>
      <c r="L214" s="14" t="s">
        <v>1177</v>
      </c>
      <c r="M214" s="14" t="s">
        <v>1539</v>
      </c>
      <c r="N214" s="14">
        <v>235.63</v>
      </c>
      <c r="O214" s="14">
        <v>1</v>
      </c>
      <c r="P214" s="14" t="s">
        <v>2047</v>
      </c>
      <c r="Q214" s="14" t="str">
        <f>_xlfn.IFS(Augmented_Data!$P214="FLAT8","8%",Augmented_Data!$P214="FLAT10","10%",Augmented_Data!$P214="FLAT15","15%",Augmented_Data!$P214="FLAT20","20%",Augmented_Data!$P214="DEL0","0 delivery charge")</f>
        <v>8%</v>
      </c>
      <c r="R214" s="14">
        <v>6</v>
      </c>
      <c r="S214" s="14" t="str">
        <f>_xlfn.IFS(Augmented_Data!U214-Augmented_Data!K214=Augmented_Data!$R214,"Intime",Augmented_Data!U214-Augmented_Data!K214&lt;Augmented_Data!R214,"Before Time",Augmented_Data!U214-Augmented_Data!K214&gt;Augmented_Data!R214,"Late")</f>
        <v>Before Time</v>
      </c>
      <c r="T214" s="14">
        <v>58</v>
      </c>
      <c r="U214" s="15">
        <v>45354</v>
      </c>
      <c r="V214" s="14">
        <f>DATEDIF(Augmented_Data!$K214,Augmented_Data!$U214,"D")</f>
        <v>5</v>
      </c>
      <c r="W214" s="14" t="s">
        <v>1729</v>
      </c>
      <c r="X214" s="14">
        <f>Augmented_Data!$Z214-Augmented_Data!$AA214</f>
        <v>23.490399999999966</v>
      </c>
      <c r="Y214" s="14">
        <f>Augmented_Data!$N214*Augmented_Data!$O214</f>
        <v>235.63</v>
      </c>
      <c r="Z214" s="14">
        <f>Augmented_Data!$Y214+Augmented_Data!$T214</f>
        <v>293.63</v>
      </c>
      <c r="AA214" s="16">
        <f>IF(Augmented_Data!Q214="0 delivery charge",Augmented_Data!Z214-Augmented_Data!T214,Augmented_Data!Z214*(1-Augmented_Data!Q214))</f>
        <v>270.13960000000003</v>
      </c>
    </row>
    <row r="215" spans="1:27" x14ac:dyDescent="0.3">
      <c r="A215" s="11" t="s">
        <v>34</v>
      </c>
      <c r="B215" s="11" t="str">
        <f>_xlfn.CONCAT(Augmented_Data!$C215," ",Augmented_Data!$D215)</f>
        <v>Gina Moreno</v>
      </c>
      <c r="C215" s="11" t="s">
        <v>134</v>
      </c>
      <c r="D215" s="11" t="s">
        <v>216</v>
      </c>
      <c r="E215" s="11">
        <v>36</v>
      </c>
      <c r="F215" s="11" t="s">
        <v>290</v>
      </c>
      <c r="G215" s="11" t="s">
        <v>294</v>
      </c>
      <c r="H215" s="11" t="s">
        <v>315</v>
      </c>
      <c r="I215" s="11" t="s">
        <v>415</v>
      </c>
      <c r="J215" s="11" t="s">
        <v>712</v>
      </c>
      <c r="K215" s="12">
        <v>45549</v>
      </c>
      <c r="L215" s="11" t="s">
        <v>1212</v>
      </c>
      <c r="M215" s="11" t="s">
        <v>1533</v>
      </c>
      <c r="N215" s="11">
        <v>136.30000000000001</v>
      </c>
      <c r="O215" s="11">
        <v>2</v>
      </c>
      <c r="P215" s="11" t="s">
        <v>1550</v>
      </c>
      <c r="Q215" s="11" t="str">
        <f>_xlfn.IFS(Augmented_Data!$P215="FLAT8","8%",Augmented_Data!$P215="FLAT10","10%",Augmented_Data!$P215="FLAT15","15%",Augmented_Data!$P215="FLAT20","20%",Augmented_Data!$P215="DEL0","0 delivery charge")</f>
        <v>20%</v>
      </c>
      <c r="R215" s="11">
        <v>7</v>
      </c>
      <c r="S215" s="11" t="str">
        <f>_xlfn.IFS(Augmented_Data!U215-Augmented_Data!K215=Augmented_Data!$R215,"Intime",Augmented_Data!U215-Augmented_Data!K215&lt;Augmented_Data!R215,"Before Time",Augmented_Data!U215-Augmented_Data!K215&gt;Augmented_Data!R215,"Late")</f>
        <v>Before Time</v>
      </c>
      <c r="T215" s="11">
        <v>51</v>
      </c>
      <c r="U215" s="12">
        <v>45550</v>
      </c>
      <c r="V215" s="11">
        <f>DATEDIF(Augmented_Data!$K215,Augmented_Data!$U215,"D")</f>
        <v>1</v>
      </c>
      <c r="W215" s="11" t="s">
        <v>1763</v>
      </c>
      <c r="X215" s="11">
        <f>Augmented_Data!$Z215-Augmented_Data!$AA215</f>
        <v>64.71999999999997</v>
      </c>
      <c r="Y215" s="11">
        <f>Augmented_Data!$N215*Augmented_Data!$O215</f>
        <v>272.60000000000002</v>
      </c>
      <c r="Z215" s="11">
        <f>Augmented_Data!$Y215+Augmented_Data!$T215</f>
        <v>323.60000000000002</v>
      </c>
      <c r="AA215" s="13">
        <f>IF(Augmented_Data!Q215="0 delivery charge",Augmented_Data!Z215-Augmented_Data!T215,Augmented_Data!Z215*(1-Augmented_Data!Q215))</f>
        <v>258.88000000000005</v>
      </c>
    </row>
    <row r="216" spans="1:27" x14ac:dyDescent="0.3">
      <c r="A216" s="14" t="s">
        <v>67</v>
      </c>
      <c r="B216" s="14" t="str">
        <f>_xlfn.CONCAT(Augmented_Data!$C216," ",Augmented_Data!$D216)</f>
        <v>Brittany Stewart</v>
      </c>
      <c r="C216" s="14" t="s">
        <v>161</v>
      </c>
      <c r="D216" s="14" t="s">
        <v>211</v>
      </c>
      <c r="E216" s="14">
        <v>68</v>
      </c>
      <c r="F216" s="14" t="s">
        <v>290</v>
      </c>
      <c r="G216" s="14" t="s">
        <v>298</v>
      </c>
      <c r="H216" s="14" t="s">
        <v>348</v>
      </c>
      <c r="I216" s="14" t="s">
        <v>448</v>
      </c>
      <c r="J216" s="14" t="s">
        <v>713</v>
      </c>
      <c r="K216" s="15">
        <v>45112</v>
      </c>
      <c r="L216" s="14" t="s">
        <v>1213</v>
      </c>
      <c r="M216" s="14" t="s">
        <v>1544</v>
      </c>
      <c r="N216" s="14">
        <v>107.47</v>
      </c>
      <c r="O216" s="14">
        <v>4</v>
      </c>
      <c r="P216" s="14" t="s">
        <v>1550</v>
      </c>
      <c r="Q216" s="14" t="str">
        <f>_xlfn.IFS(Augmented_Data!$P216="FLAT8","8%",Augmented_Data!$P216="FLAT10","10%",Augmented_Data!$P216="FLAT15","15%",Augmented_Data!$P216="FLAT20","20%",Augmented_Data!$P216="DEL0","0 delivery charge")</f>
        <v>20%</v>
      </c>
      <c r="R216" s="14">
        <v>5</v>
      </c>
      <c r="S216" s="14" t="str">
        <f>_xlfn.IFS(Augmented_Data!U216-Augmented_Data!K216=Augmented_Data!$R216,"Intime",Augmented_Data!U216-Augmented_Data!K216&lt;Augmented_Data!R216,"Before Time",Augmented_Data!U216-Augmented_Data!K216&gt;Augmented_Data!R216,"Late")</f>
        <v>Before Time</v>
      </c>
      <c r="T216" s="14">
        <v>51</v>
      </c>
      <c r="U216" s="15">
        <v>45115</v>
      </c>
      <c r="V216" s="14">
        <f>DATEDIF(Augmented_Data!$K216,Augmented_Data!$U216,"D")</f>
        <v>3</v>
      </c>
      <c r="W216" s="14" t="s">
        <v>1764</v>
      </c>
      <c r="X216" s="14">
        <f>Augmented_Data!$Z216-Augmented_Data!$AA216</f>
        <v>96.175999999999988</v>
      </c>
      <c r="Y216" s="14">
        <f>Augmented_Data!$N216*Augmented_Data!$O216</f>
        <v>429.88</v>
      </c>
      <c r="Z216" s="14">
        <f>Augmented_Data!$Y216+Augmented_Data!$T216</f>
        <v>480.88</v>
      </c>
      <c r="AA216" s="16">
        <f>IF(Augmented_Data!Q216="0 delivery charge",Augmented_Data!Z216-Augmented_Data!T216,Augmented_Data!Z216*(1-Augmented_Data!Q216))</f>
        <v>384.70400000000001</v>
      </c>
    </row>
    <row r="217" spans="1:27" x14ac:dyDescent="0.3">
      <c r="A217" s="11" t="s">
        <v>47</v>
      </c>
      <c r="B217" s="11" t="str">
        <f>_xlfn.CONCAT(Augmented_Data!$C217," ",Augmented_Data!$D217)</f>
        <v>Rachael Robinson</v>
      </c>
      <c r="C217" s="11" t="s">
        <v>145</v>
      </c>
      <c r="D217" s="11" t="s">
        <v>228</v>
      </c>
      <c r="E217" s="11">
        <v>24</v>
      </c>
      <c r="F217" s="11" t="s">
        <v>290</v>
      </c>
      <c r="G217" s="11" t="s">
        <v>298</v>
      </c>
      <c r="H217" s="11" t="s">
        <v>328</v>
      </c>
      <c r="I217" s="11" t="s">
        <v>428</v>
      </c>
      <c r="J217" s="11" t="s">
        <v>662</v>
      </c>
      <c r="K217" s="12">
        <v>45271</v>
      </c>
      <c r="L217" s="11" t="s">
        <v>1162</v>
      </c>
      <c r="M217" s="11" t="s">
        <v>1504</v>
      </c>
      <c r="N217" s="11">
        <v>275.44</v>
      </c>
      <c r="O217" s="11">
        <v>2</v>
      </c>
      <c r="P217" s="11" t="s">
        <v>2047</v>
      </c>
      <c r="Q217" s="11" t="str">
        <f>_xlfn.IFS(Augmented_Data!$P217="FLAT8","8%",Augmented_Data!$P217="FLAT10","10%",Augmented_Data!$P217="FLAT15","15%",Augmented_Data!$P217="FLAT20","20%",Augmented_Data!$P217="DEL0","0 delivery charge")</f>
        <v>8%</v>
      </c>
      <c r="R217" s="11">
        <v>2</v>
      </c>
      <c r="S217" s="11" t="str">
        <f>_xlfn.IFS(Augmented_Data!U217-Augmented_Data!K217=Augmented_Data!$R217,"Intime",Augmented_Data!U217-Augmented_Data!K217&lt;Augmented_Data!R217,"Before Time",Augmented_Data!U217-Augmented_Data!K217&gt;Augmented_Data!R217,"Late")</f>
        <v>Late</v>
      </c>
      <c r="T217" s="11">
        <v>36</v>
      </c>
      <c r="U217" s="12">
        <v>45276</v>
      </c>
      <c r="V217" s="11">
        <f>DATEDIF(Augmented_Data!$K217,Augmented_Data!$U217,"D")</f>
        <v>5</v>
      </c>
      <c r="W217" s="11" t="s">
        <v>1714</v>
      </c>
      <c r="X217" s="11">
        <f>Augmented_Data!$Z217-Augmented_Data!$AA217</f>
        <v>46.950399999999945</v>
      </c>
      <c r="Y217" s="11">
        <f>Augmented_Data!$N217*Augmented_Data!$O217</f>
        <v>550.88</v>
      </c>
      <c r="Z217" s="11">
        <f>Augmented_Data!$Y217+Augmented_Data!$T217</f>
        <v>586.88</v>
      </c>
      <c r="AA217" s="13">
        <f>IF(Augmented_Data!Q217="0 delivery charge",Augmented_Data!Z217-Augmented_Data!T217,Augmented_Data!Z217*(1-Augmented_Data!Q217))</f>
        <v>539.92960000000005</v>
      </c>
    </row>
    <row r="218" spans="1:27" x14ac:dyDescent="0.3">
      <c r="A218" s="14" t="s">
        <v>75</v>
      </c>
      <c r="B218" s="14" t="str">
        <f>_xlfn.CONCAT(Augmented_Data!$C218," ",Augmented_Data!$D218)</f>
        <v>Lindsey Byrd</v>
      </c>
      <c r="C218" s="14" t="s">
        <v>168</v>
      </c>
      <c r="D218" s="14" t="s">
        <v>253</v>
      </c>
      <c r="E218" s="14">
        <v>32</v>
      </c>
      <c r="F218" s="14" t="s">
        <v>288</v>
      </c>
      <c r="G218" s="14" t="s">
        <v>293</v>
      </c>
      <c r="H218" s="14" t="s">
        <v>356</v>
      </c>
      <c r="I218" s="14" t="s">
        <v>456</v>
      </c>
      <c r="J218" s="14" t="s">
        <v>639</v>
      </c>
      <c r="K218" s="15">
        <v>45588</v>
      </c>
      <c r="L218" s="14" t="s">
        <v>1139</v>
      </c>
      <c r="M218" s="14" t="s">
        <v>1544</v>
      </c>
      <c r="N218" s="14">
        <v>107.47</v>
      </c>
      <c r="O218" s="14">
        <v>2</v>
      </c>
      <c r="P218" s="14" t="s">
        <v>1548</v>
      </c>
      <c r="Q218" s="14" t="str">
        <f>_xlfn.IFS(Augmented_Data!$P218="FLAT8","8%",Augmented_Data!$P218="FLAT10","10%",Augmented_Data!$P218="FLAT15","15%",Augmented_Data!$P218="FLAT20","20%",Augmented_Data!$P218="DEL0","0 delivery charge")</f>
        <v>15%</v>
      </c>
      <c r="R218" s="14">
        <v>5</v>
      </c>
      <c r="S218" s="14" t="str">
        <f>_xlfn.IFS(Augmented_Data!U218-Augmented_Data!K218=Augmented_Data!$R218,"Intime",Augmented_Data!U218-Augmented_Data!K218&lt;Augmented_Data!R218,"Before Time",Augmented_Data!U218-Augmented_Data!K218&gt;Augmented_Data!R218,"Late")</f>
        <v>Before Time</v>
      </c>
      <c r="T218" s="14">
        <v>55</v>
      </c>
      <c r="U218" s="15">
        <v>45592</v>
      </c>
      <c r="V218" s="14">
        <f>DATEDIF(Augmented_Data!$K218,Augmented_Data!$U218,"D")</f>
        <v>4</v>
      </c>
      <c r="W218" s="14" t="s">
        <v>1691</v>
      </c>
      <c r="X218" s="14">
        <f>Augmented_Data!$Z218-Augmented_Data!$AA218</f>
        <v>40.491000000000014</v>
      </c>
      <c r="Y218" s="14">
        <f>Augmented_Data!$N218*Augmented_Data!$O218</f>
        <v>214.94</v>
      </c>
      <c r="Z218" s="14">
        <f>Augmented_Data!$Y218+Augmented_Data!$T218</f>
        <v>269.94</v>
      </c>
      <c r="AA218" s="16">
        <f>IF(Augmented_Data!Q218="0 delivery charge",Augmented_Data!Z218-Augmented_Data!T218,Augmented_Data!Z218*(1-Augmented_Data!Q218))</f>
        <v>229.44899999999998</v>
      </c>
    </row>
    <row r="219" spans="1:27" x14ac:dyDescent="0.3">
      <c r="A219" s="11" t="s">
        <v>22</v>
      </c>
      <c r="B219" s="11" t="str">
        <f>_xlfn.CONCAT(Augmented_Data!$C219," ",Augmented_Data!$D219)</f>
        <v>Angela Horne</v>
      </c>
      <c r="C219" s="11" t="s">
        <v>122</v>
      </c>
      <c r="D219" s="11" t="s">
        <v>204</v>
      </c>
      <c r="E219" s="11">
        <v>49</v>
      </c>
      <c r="F219" s="11" t="s">
        <v>290</v>
      </c>
      <c r="G219" s="11" t="s">
        <v>291</v>
      </c>
      <c r="H219" s="11" t="s">
        <v>303</v>
      </c>
      <c r="I219" s="11" t="s">
        <v>403</v>
      </c>
      <c r="J219" s="11" t="s">
        <v>716</v>
      </c>
      <c r="K219" s="12">
        <v>45578</v>
      </c>
      <c r="L219" s="11" t="s">
        <v>1216</v>
      </c>
      <c r="M219" s="11" t="s">
        <v>1522</v>
      </c>
      <c r="N219" s="11">
        <v>158.53</v>
      </c>
      <c r="O219" s="11">
        <v>5</v>
      </c>
      <c r="P219" s="11" t="s">
        <v>2047</v>
      </c>
      <c r="Q219" s="11" t="str">
        <f>_xlfn.IFS(Augmented_Data!$P219="FLAT8","8%",Augmented_Data!$P219="FLAT10","10%",Augmented_Data!$P219="FLAT15","15%",Augmented_Data!$P219="FLAT20","20%",Augmented_Data!$P219="DEL0","0 delivery charge")</f>
        <v>8%</v>
      </c>
      <c r="R219" s="11">
        <v>2</v>
      </c>
      <c r="S219" s="11" t="str">
        <f>_xlfn.IFS(Augmented_Data!U219-Augmented_Data!K219=Augmented_Data!$R219,"Intime",Augmented_Data!U219-Augmented_Data!K219&lt;Augmented_Data!R219,"Before Time",Augmented_Data!U219-Augmented_Data!K219&gt;Augmented_Data!R219,"Late")</f>
        <v>Late</v>
      </c>
      <c r="T219" s="11">
        <v>64</v>
      </c>
      <c r="U219" s="12">
        <v>45582</v>
      </c>
      <c r="V219" s="11">
        <f>DATEDIF(Augmented_Data!$K219,Augmented_Data!$U219,"D")</f>
        <v>4</v>
      </c>
      <c r="W219" s="11" t="s">
        <v>1767</v>
      </c>
      <c r="X219" s="11">
        <f>Augmented_Data!$Z219-Augmented_Data!$AA219</f>
        <v>68.531999999999925</v>
      </c>
      <c r="Y219" s="11">
        <f>Augmented_Data!$N219*Augmented_Data!$O219</f>
        <v>792.65</v>
      </c>
      <c r="Z219" s="11">
        <f>Augmented_Data!$Y219+Augmented_Data!$T219</f>
        <v>856.65</v>
      </c>
      <c r="AA219" s="13">
        <f>IF(Augmented_Data!Q219="0 delivery charge",Augmented_Data!Z219-Augmented_Data!T219,Augmented_Data!Z219*(1-Augmented_Data!Q219))</f>
        <v>788.11800000000005</v>
      </c>
    </row>
    <row r="220" spans="1:27" x14ac:dyDescent="0.3">
      <c r="A220" s="14" t="s">
        <v>38</v>
      </c>
      <c r="B220" s="14" t="str">
        <f>_xlfn.CONCAT(Augmented_Data!$C220," ",Augmented_Data!$D220)</f>
        <v>Christian Clayton</v>
      </c>
      <c r="C220" s="14" t="s">
        <v>138</v>
      </c>
      <c r="D220" s="14" t="s">
        <v>219</v>
      </c>
      <c r="E220" s="14">
        <v>39</v>
      </c>
      <c r="F220" s="14" t="s">
        <v>289</v>
      </c>
      <c r="G220" s="14" t="s">
        <v>293</v>
      </c>
      <c r="H220" s="14" t="s">
        <v>319</v>
      </c>
      <c r="I220" s="14" t="s">
        <v>419</v>
      </c>
      <c r="J220" s="14" t="s">
        <v>717</v>
      </c>
      <c r="K220" s="15">
        <v>45541</v>
      </c>
      <c r="L220" s="14" t="s">
        <v>1217</v>
      </c>
      <c r="M220" s="14" t="s">
        <v>1503</v>
      </c>
      <c r="N220" s="14">
        <v>363.64</v>
      </c>
      <c r="O220" s="14">
        <v>2</v>
      </c>
      <c r="P220" s="14" t="s">
        <v>1550</v>
      </c>
      <c r="Q220" s="14" t="str">
        <f>_xlfn.IFS(Augmented_Data!$P220="FLAT8","8%",Augmented_Data!$P220="FLAT10","10%",Augmented_Data!$P220="FLAT15","15%",Augmented_Data!$P220="FLAT20","20%",Augmented_Data!$P220="DEL0","0 delivery charge")</f>
        <v>20%</v>
      </c>
      <c r="R220" s="14">
        <v>6</v>
      </c>
      <c r="S220" s="14" t="str">
        <f>_xlfn.IFS(Augmented_Data!U220-Augmented_Data!K220=Augmented_Data!$R220,"Intime",Augmented_Data!U220-Augmented_Data!K220&lt;Augmented_Data!R220,"Before Time",Augmented_Data!U220-Augmented_Data!K220&gt;Augmented_Data!R220,"Late")</f>
        <v>Before Time</v>
      </c>
      <c r="T220" s="14">
        <v>37</v>
      </c>
      <c r="U220" s="15">
        <v>45544</v>
      </c>
      <c r="V220" s="14">
        <f>DATEDIF(Augmented_Data!$K220,Augmented_Data!$U220,"D")</f>
        <v>3</v>
      </c>
      <c r="W220" s="14" t="s">
        <v>1768</v>
      </c>
      <c r="X220" s="14">
        <f>Augmented_Data!$Z220-Augmented_Data!$AA220</f>
        <v>152.85599999999999</v>
      </c>
      <c r="Y220" s="14">
        <f>Augmented_Data!$N220*Augmented_Data!$O220</f>
        <v>727.28</v>
      </c>
      <c r="Z220" s="14">
        <f>Augmented_Data!$Y220+Augmented_Data!$T220</f>
        <v>764.28</v>
      </c>
      <c r="AA220" s="16">
        <f>IF(Augmented_Data!Q220="0 delivery charge",Augmented_Data!Z220-Augmented_Data!T220,Augmented_Data!Z220*(1-Augmented_Data!Q220))</f>
        <v>611.42399999999998</v>
      </c>
    </row>
    <row r="221" spans="1:27" x14ac:dyDescent="0.3">
      <c r="A221" s="11" t="s">
        <v>52</v>
      </c>
      <c r="B221" s="11" t="str">
        <f>_xlfn.CONCAT(Augmented_Data!$C221," ",Augmented_Data!$D221)</f>
        <v>Julie Meyer</v>
      </c>
      <c r="C221" s="11" t="s">
        <v>150</v>
      </c>
      <c r="D221" s="11" t="s">
        <v>233</v>
      </c>
      <c r="E221" s="11">
        <v>23</v>
      </c>
      <c r="F221" s="11" t="s">
        <v>288</v>
      </c>
      <c r="G221" s="11" t="s">
        <v>291</v>
      </c>
      <c r="H221" s="11" t="s">
        <v>333</v>
      </c>
      <c r="I221" s="11" t="s">
        <v>433</v>
      </c>
      <c r="J221" s="11" t="s">
        <v>718</v>
      </c>
      <c r="K221" s="12">
        <v>45504</v>
      </c>
      <c r="L221" s="11" t="s">
        <v>1218</v>
      </c>
      <c r="M221" s="11" t="s">
        <v>1533</v>
      </c>
      <c r="N221" s="11">
        <v>136.30000000000001</v>
      </c>
      <c r="O221" s="11">
        <v>2</v>
      </c>
      <c r="P221" s="11" t="s">
        <v>1549</v>
      </c>
      <c r="Q221" s="11" t="str">
        <f>_xlfn.IFS(Augmented_Data!$P221="FLAT8","8%",Augmented_Data!$P221="FLAT10","10%",Augmented_Data!$P221="FLAT15","15%",Augmented_Data!$P221="FLAT20","20%",Augmented_Data!$P221="DEL0","0 delivery charge")</f>
        <v>10%</v>
      </c>
      <c r="R221" s="11">
        <v>3</v>
      </c>
      <c r="S221" s="11" t="str">
        <f>_xlfn.IFS(Augmented_Data!U221-Augmented_Data!K221=Augmented_Data!$R221,"Intime",Augmented_Data!U221-Augmented_Data!K221&lt;Augmented_Data!R221,"Before Time",Augmented_Data!U221-Augmented_Data!K221&gt;Augmented_Data!R221,"Late")</f>
        <v>Late</v>
      </c>
      <c r="T221" s="11">
        <v>47</v>
      </c>
      <c r="U221" s="12">
        <v>45511</v>
      </c>
      <c r="V221" s="11">
        <f>DATEDIF(Augmented_Data!$K221,Augmented_Data!$U221,"D")</f>
        <v>7</v>
      </c>
      <c r="W221" s="11" t="s">
        <v>1769</v>
      </c>
      <c r="X221" s="11">
        <f>Augmented_Data!$Z221-Augmented_Data!$AA221</f>
        <v>31.95999999999998</v>
      </c>
      <c r="Y221" s="11">
        <f>Augmented_Data!$N221*Augmented_Data!$O221</f>
        <v>272.60000000000002</v>
      </c>
      <c r="Z221" s="11">
        <f>Augmented_Data!$Y221+Augmented_Data!$T221</f>
        <v>319.60000000000002</v>
      </c>
      <c r="AA221" s="13">
        <f>IF(Augmented_Data!Q221="0 delivery charge",Augmented_Data!Z221-Augmented_Data!T221,Augmented_Data!Z221*(1-Augmented_Data!Q221))</f>
        <v>287.64000000000004</v>
      </c>
    </row>
    <row r="222" spans="1:27" x14ac:dyDescent="0.3">
      <c r="A222" s="14" t="s">
        <v>90</v>
      </c>
      <c r="B222" s="14" t="str">
        <f>_xlfn.CONCAT(Augmented_Data!$C222," ",Augmented_Data!$D222)</f>
        <v>Mark Summers</v>
      </c>
      <c r="C222" s="14" t="s">
        <v>139</v>
      </c>
      <c r="D222" s="14" t="s">
        <v>266</v>
      </c>
      <c r="E222" s="14">
        <v>55</v>
      </c>
      <c r="F222" s="14" t="s">
        <v>289</v>
      </c>
      <c r="G222" s="14" t="s">
        <v>293</v>
      </c>
      <c r="H222" s="14" t="s">
        <v>371</v>
      </c>
      <c r="I222" s="14" t="s">
        <v>471</v>
      </c>
      <c r="J222" s="14" t="s">
        <v>709</v>
      </c>
      <c r="K222" s="15">
        <v>45408</v>
      </c>
      <c r="L222" s="14" t="s">
        <v>1209</v>
      </c>
      <c r="M222" s="14" t="s">
        <v>1530</v>
      </c>
      <c r="N222" s="14">
        <v>369.03</v>
      </c>
      <c r="O222" s="14">
        <v>3</v>
      </c>
      <c r="P222" s="14" t="s">
        <v>1550</v>
      </c>
      <c r="Q222" s="14" t="str">
        <f>_xlfn.IFS(Augmented_Data!$P222="FLAT8","8%",Augmented_Data!$P222="FLAT10","10%",Augmented_Data!$P222="FLAT15","15%",Augmented_Data!$P222="FLAT20","20%",Augmented_Data!$P222="DEL0","0 delivery charge")</f>
        <v>20%</v>
      </c>
      <c r="R222" s="14">
        <v>2</v>
      </c>
      <c r="S222" s="14" t="str">
        <f>_xlfn.IFS(Augmented_Data!U222-Augmented_Data!K222=Augmented_Data!$R222,"Intime",Augmented_Data!U222-Augmented_Data!K222&lt;Augmented_Data!R222,"Before Time",Augmented_Data!U222-Augmented_Data!K222&gt;Augmented_Data!R222,"Late")</f>
        <v>Late</v>
      </c>
      <c r="T222" s="14">
        <v>65</v>
      </c>
      <c r="U222" s="15">
        <v>45412</v>
      </c>
      <c r="V222" s="14">
        <f>DATEDIF(Augmented_Data!$K222,Augmented_Data!$U222,"D")</f>
        <v>4</v>
      </c>
      <c r="W222" s="14" t="s">
        <v>1760</v>
      </c>
      <c r="X222" s="14">
        <f>Augmented_Data!$Z222-Augmented_Data!$AA222</f>
        <v>234.41799999999989</v>
      </c>
      <c r="Y222" s="14">
        <f>Augmented_Data!$N222*Augmented_Data!$O222</f>
        <v>1107.0899999999999</v>
      </c>
      <c r="Z222" s="14">
        <f>Augmented_Data!$Y222+Augmented_Data!$T222</f>
        <v>1172.0899999999999</v>
      </c>
      <c r="AA222" s="16">
        <f>IF(Augmented_Data!Q222="0 delivery charge",Augmented_Data!Z222-Augmented_Data!T222,Augmented_Data!Z222*(1-Augmented_Data!Q222))</f>
        <v>937.67200000000003</v>
      </c>
    </row>
    <row r="223" spans="1:27" x14ac:dyDescent="0.3">
      <c r="A223" s="11" t="s">
        <v>45</v>
      </c>
      <c r="B223" s="11" t="str">
        <f>_xlfn.CONCAT(Augmented_Data!$C223," ",Augmented_Data!$D223)</f>
        <v>Taylor Davis</v>
      </c>
      <c r="C223" s="11" t="s">
        <v>143</v>
      </c>
      <c r="D223" s="11" t="s">
        <v>226</v>
      </c>
      <c r="E223" s="11">
        <v>54</v>
      </c>
      <c r="F223" s="11" t="s">
        <v>289</v>
      </c>
      <c r="G223" s="11" t="s">
        <v>291</v>
      </c>
      <c r="H223" s="11" t="s">
        <v>326</v>
      </c>
      <c r="I223" s="11" t="s">
        <v>426</v>
      </c>
      <c r="J223" s="11" t="s">
        <v>720</v>
      </c>
      <c r="K223" s="12">
        <v>45105</v>
      </c>
      <c r="L223" s="11" t="s">
        <v>1220</v>
      </c>
      <c r="M223" s="11" t="s">
        <v>1543</v>
      </c>
      <c r="N223" s="11">
        <v>381.73</v>
      </c>
      <c r="O223" s="11">
        <v>2</v>
      </c>
      <c r="P223" s="11" t="s">
        <v>1548</v>
      </c>
      <c r="Q223" s="11" t="str">
        <f>_xlfn.IFS(Augmented_Data!$P223="FLAT8","8%",Augmented_Data!$P223="FLAT10","10%",Augmented_Data!$P223="FLAT15","15%",Augmented_Data!$P223="FLAT20","20%",Augmented_Data!$P223="DEL0","0 delivery charge")</f>
        <v>15%</v>
      </c>
      <c r="R223" s="11">
        <v>3</v>
      </c>
      <c r="S223" s="11" t="str">
        <f>_xlfn.IFS(Augmented_Data!U223-Augmented_Data!K223=Augmented_Data!$R223,"Intime",Augmented_Data!U223-Augmented_Data!K223&lt;Augmented_Data!R223,"Before Time",Augmented_Data!U223-Augmented_Data!K223&gt;Augmented_Data!R223,"Late")</f>
        <v>Late</v>
      </c>
      <c r="T223" s="11">
        <v>70</v>
      </c>
      <c r="U223" s="12">
        <v>45112</v>
      </c>
      <c r="V223" s="11">
        <f>DATEDIF(Augmented_Data!$K223,Augmented_Data!$U223,"D")</f>
        <v>7</v>
      </c>
      <c r="W223" s="11" t="s">
        <v>1771</v>
      </c>
      <c r="X223" s="11">
        <f>Augmented_Data!$Z223-Augmented_Data!$AA223</f>
        <v>125.01900000000001</v>
      </c>
      <c r="Y223" s="11">
        <f>Augmented_Data!$N223*Augmented_Data!$O223</f>
        <v>763.46</v>
      </c>
      <c r="Z223" s="11">
        <f>Augmented_Data!$Y223+Augmented_Data!$T223</f>
        <v>833.46</v>
      </c>
      <c r="AA223" s="13">
        <f>IF(Augmented_Data!Q223="0 delivery charge",Augmented_Data!Z223-Augmented_Data!T223,Augmented_Data!Z223*(1-Augmented_Data!Q223))</f>
        <v>708.44100000000003</v>
      </c>
    </row>
    <row r="224" spans="1:27" x14ac:dyDescent="0.3">
      <c r="A224" s="14" t="s">
        <v>81</v>
      </c>
      <c r="B224" s="14" t="str">
        <f>_xlfn.CONCAT(Augmented_Data!$C224," ",Augmented_Data!$D224)</f>
        <v>Beth Mason</v>
      </c>
      <c r="C224" s="14" t="s">
        <v>171</v>
      </c>
      <c r="D224" s="14" t="s">
        <v>258</v>
      </c>
      <c r="E224" s="14">
        <v>45</v>
      </c>
      <c r="F224" s="14" t="s">
        <v>290</v>
      </c>
      <c r="G224" s="14" t="s">
        <v>296</v>
      </c>
      <c r="H224" s="14" t="s">
        <v>362</v>
      </c>
      <c r="I224" s="14" t="s">
        <v>462</v>
      </c>
      <c r="J224" s="14" t="s">
        <v>721</v>
      </c>
      <c r="K224" s="15">
        <v>45677</v>
      </c>
      <c r="L224" s="14" t="s">
        <v>1221</v>
      </c>
      <c r="M224" s="14" t="s">
        <v>1519</v>
      </c>
      <c r="N224" s="14">
        <v>421.7</v>
      </c>
      <c r="O224" s="14">
        <v>3</v>
      </c>
      <c r="P224" s="14" t="s">
        <v>1549</v>
      </c>
      <c r="Q224" s="14" t="str">
        <f>_xlfn.IFS(Augmented_Data!$P224="FLAT8","8%",Augmented_Data!$P224="FLAT10","10%",Augmented_Data!$P224="FLAT15","15%",Augmented_Data!$P224="FLAT20","20%",Augmented_Data!$P224="DEL0","0 delivery charge")</f>
        <v>10%</v>
      </c>
      <c r="R224" s="14">
        <v>6</v>
      </c>
      <c r="S224" s="14" t="str">
        <f>_xlfn.IFS(Augmented_Data!U224-Augmented_Data!K224=Augmented_Data!$R224,"Intime",Augmented_Data!U224-Augmented_Data!K224&lt;Augmented_Data!R224,"Before Time",Augmented_Data!U224-Augmented_Data!K224&gt;Augmented_Data!R224,"Late")</f>
        <v>Before Time</v>
      </c>
      <c r="T224" s="14">
        <v>38</v>
      </c>
      <c r="U224" s="15">
        <v>45680</v>
      </c>
      <c r="V224" s="14">
        <f>DATEDIF(Augmented_Data!$K224,Augmented_Data!$U224,"D")</f>
        <v>3</v>
      </c>
      <c r="W224" s="14" t="s">
        <v>1772</v>
      </c>
      <c r="X224" s="14">
        <f>Augmented_Data!$Z224-Augmented_Data!$AA224</f>
        <v>130.30999999999995</v>
      </c>
      <c r="Y224" s="14">
        <f>Augmented_Data!$N224*Augmented_Data!$O224</f>
        <v>1265.0999999999999</v>
      </c>
      <c r="Z224" s="14">
        <f>Augmented_Data!$Y224+Augmented_Data!$T224</f>
        <v>1303.0999999999999</v>
      </c>
      <c r="AA224" s="16">
        <f>IF(Augmented_Data!Q224="0 delivery charge",Augmented_Data!Z224-Augmented_Data!T224,Augmented_Data!Z224*(1-Augmented_Data!Q224))</f>
        <v>1172.79</v>
      </c>
    </row>
    <row r="225" spans="1:27" x14ac:dyDescent="0.3">
      <c r="A225" s="11" t="s">
        <v>90</v>
      </c>
      <c r="B225" s="11" t="str">
        <f>_xlfn.CONCAT(Augmented_Data!$C225," ",Augmented_Data!$D225)</f>
        <v>Mark Summers</v>
      </c>
      <c r="C225" s="11" t="s">
        <v>139</v>
      </c>
      <c r="D225" s="11" t="s">
        <v>266</v>
      </c>
      <c r="E225" s="11">
        <v>55</v>
      </c>
      <c r="F225" s="11" t="s">
        <v>289</v>
      </c>
      <c r="G225" s="11" t="s">
        <v>293</v>
      </c>
      <c r="H225" s="11" t="s">
        <v>371</v>
      </c>
      <c r="I225" s="11" t="s">
        <v>471</v>
      </c>
      <c r="J225" s="11" t="s">
        <v>722</v>
      </c>
      <c r="K225" s="12">
        <v>45186</v>
      </c>
      <c r="L225" s="11" t="s">
        <v>1222</v>
      </c>
      <c r="M225" s="11" t="s">
        <v>1501</v>
      </c>
      <c r="N225" s="11">
        <v>330.11</v>
      </c>
      <c r="O225" s="11">
        <v>3</v>
      </c>
      <c r="P225" s="11" t="s">
        <v>2047</v>
      </c>
      <c r="Q225" s="11" t="str">
        <f>_xlfn.IFS(Augmented_Data!$P225="FLAT8","8%",Augmented_Data!$P225="FLAT10","10%",Augmented_Data!$P225="FLAT15","15%",Augmented_Data!$P225="FLAT20","20%",Augmented_Data!$P225="DEL0","0 delivery charge")</f>
        <v>8%</v>
      </c>
      <c r="R225" s="11">
        <v>2</v>
      </c>
      <c r="S225" s="11" t="str">
        <f>_xlfn.IFS(Augmented_Data!U225-Augmented_Data!K225=Augmented_Data!$R225,"Intime",Augmented_Data!U225-Augmented_Data!K225&lt;Augmented_Data!R225,"Before Time",Augmented_Data!U225-Augmented_Data!K225&gt;Augmented_Data!R225,"Late")</f>
        <v>Late</v>
      </c>
      <c r="T225" s="11">
        <v>40</v>
      </c>
      <c r="U225" s="12">
        <v>45191</v>
      </c>
      <c r="V225" s="11">
        <f>DATEDIF(Augmented_Data!$K225,Augmented_Data!$U225,"D")</f>
        <v>5</v>
      </c>
      <c r="W225" s="11" t="s">
        <v>1773</v>
      </c>
      <c r="X225" s="11">
        <f>Augmented_Data!$Z225-Augmented_Data!$AA225</f>
        <v>82.426399999999944</v>
      </c>
      <c r="Y225" s="11">
        <f>Augmented_Data!$N225*Augmented_Data!$O225</f>
        <v>990.33</v>
      </c>
      <c r="Z225" s="11">
        <f>Augmented_Data!$Y225+Augmented_Data!$T225</f>
        <v>1030.33</v>
      </c>
      <c r="AA225" s="13">
        <f>IF(Augmented_Data!Q225="0 delivery charge",Augmented_Data!Z225-Augmented_Data!T225,Augmented_Data!Z225*(1-Augmented_Data!Q225))</f>
        <v>947.90359999999998</v>
      </c>
    </row>
    <row r="226" spans="1:27" x14ac:dyDescent="0.3">
      <c r="A226" s="14" t="s">
        <v>49</v>
      </c>
      <c r="B226" s="14" t="str">
        <f>_xlfn.CONCAT(Augmented_Data!$C226," ",Augmented_Data!$D226)</f>
        <v>Valerie Carr</v>
      </c>
      <c r="C226" s="14" t="s">
        <v>147</v>
      </c>
      <c r="D226" s="14" t="s">
        <v>230</v>
      </c>
      <c r="E226" s="14">
        <v>26</v>
      </c>
      <c r="F226" s="14" t="s">
        <v>290</v>
      </c>
      <c r="G226" s="14" t="s">
        <v>297</v>
      </c>
      <c r="H226" s="14" t="s">
        <v>330</v>
      </c>
      <c r="I226" s="14" t="s">
        <v>430</v>
      </c>
      <c r="J226" s="14" t="s">
        <v>723</v>
      </c>
      <c r="K226" s="15">
        <v>45537</v>
      </c>
      <c r="L226" s="14" t="s">
        <v>1223</v>
      </c>
      <c r="M226" s="14" t="s">
        <v>1506</v>
      </c>
      <c r="N226" s="14">
        <v>372.62</v>
      </c>
      <c r="O226" s="14">
        <v>1</v>
      </c>
      <c r="P226" s="14" t="s">
        <v>1549</v>
      </c>
      <c r="Q226" s="14" t="str">
        <f>_xlfn.IFS(Augmented_Data!$P226="FLAT8","8%",Augmented_Data!$P226="FLAT10","10%",Augmented_Data!$P226="FLAT15","15%",Augmented_Data!$P226="FLAT20","20%",Augmented_Data!$P226="DEL0","0 delivery charge")</f>
        <v>10%</v>
      </c>
      <c r="R226" s="14">
        <v>4</v>
      </c>
      <c r="S226" s="14" t="str">
        <f>_xlfn.IFS(Augmented_Data!U226-Augmented_Data!K226=Augmented_Data!$R226,"Intime",Augmented_Data!U226-Augmented_Data!K226&lt;Augmented_Data!R226,"Before Time",Augmented_Data!U226-Augmented_Data!K226&gt;Augmented_Data!R226,"Late")</f>
        <v>Intime</v>
      </c>
      <c r="T226" s="14">
        <v>36</v>
      </c>
      <c r="U226" s="15">
        <v>45541</v>
      </c>
      <c r="V226" s="14">
        <f>DATEDIF(Augmented_Data!$K226,Augmented_Data!$U226,"D")</f>
        <v>4</v>
      </c>
      <c r="W226" s="14" t="s">
        <v>1774</v>
      </c>
      <c r="X226" s="14">
        <f>Augmented_Data!$Z226-Augmented_Data!$AA226</f>
        <v>40.861999999999966</v>
      </c>
      <c r="Y226" s="14">
        <f>Augmented_Data!$N226*Augmented_Data!$O226</f>
        <v>372.62</v>
      </c>
      <c r="Z226" s="14">
        <f>Augmented_Data!$Y226+Augmented_Data!$T226</f>
        <v>408.62</v>
      </c>
      <c r="AA226" s="16">
        <f>IF(Augmented_Data!Q226="0 delivery charge",Augmented_Data!Z226-Augmented_Data!T226,Augmented_Data!Z226*(1-Augmented_Data!Q226))</f>
        <v>367.75800000000004</v>
      </c>
    </row>
    <row r="227" spans="1:27" x14ac:dyDescent="0.3">
      <c r="A227" s="11" t="s">
        <v>103</v>
      </c>
      <c r="B227" s="11" t="str">
        <f>_xlfn.CONCAT(Augmented_Data!$C227," ",Augmented_Data!$D227)</f>
        <v>Gary Huff</v>
      </c>
      <c r="C227" s="11" t="s">
        <v>191</v>
      </c>
      <c r="D227" s="11" t="s">
        <v>277</v>
      </c>
      <c r="E227" s="11">
        <v>18</v>
      </c>
      <c r="F227" s="11" t="s">
        <v>288</v>
      </c>
      <c r="G227" s="11" t="s">
        <v>295</v>
      </c>
      <c r="H227" s="11" t="s">
        <v>384</v>
      </c>
      <c r="I227" s="11" t="s">
        <v>484</v>
      </c>
      <c r="J227" s="11" t="s">
        <v>710</v>
      </c>
      <c r="K227" s="12">
        <v>45217</v>
      </c>
      <c r="L227" s="11" t="s">
        <v>1210</v>
      </c>
      <c r="M227" s="11" t="s">
        <v>1525</v>
      </c>
      <c r="N227" s="11">
        <v>481.48</v>
      </c>
      <c r="O227" s="11">
        <v>3</v>
      </c>
      <c r="P227" s="11" t="s">
        <v>1549</v>
      </c>
      <c r="Q227" s="11" t="str">
        <f>_xlfn.IFS(Augmented_Data!$P227="FLAT8","8%",Augmented_Data!$P227="FLAT10","10%",Augmented_Data!$P227="FLAT15","15%",Augmented_Data!$P227="FLAT20","20%",Augmented_Data!$P227="DEL0","0 delivery charge")</f>
        <v>10%</v>
      </c>
      <c r="R227" s="11">
        <v>2</v>
      </c>
      <c r="S227" s="11" t="str">
        <f>_xlfn.IFS(Augmented_Data!U227-Augmented_Data!K227=Augmented_Data!$R227,"Intime",Augmented_Data!U227-Augmented_Data!K227&lt;Augmented_Data!R227,"Before Time",Augmented_Data!U227-Augmented_Data!K227&gt;Augmented_Data!R227,"Late")</f>
        <v>Late</v>
      </c>
      <c r="T227" s="11">
        <v>42</v>
      </c>
      <c r="U227" s="12">
        <v>45221</v>
      </c>
      <c r="V227" s="11">
        <f>DATEDIF(Augmented_Data!$K227,Augmented_Data!$U227,"D")</f>
        <v>4</v>
      </c>
      <c r="W227" s="11" t="s">
        <v>1761</v>
      </c>
      <c r="X227" s="11">
        <f>Augmented_Data!$Z227-Augmented_Data!$AA227</f>
        <v>148.64400000000001</v>
      </c>
      <c r="Y227" s="11">
        <f>Augmented_Data!$N227*Augmented_Data!$O227</f>
        <v>1444.44</v>
      </c>
      <c r="Z227" s="11">
        <f>Augmented_Data!$Y227+Augmented_Data!$T227</f>
        <v>1486.44</v>
      </c>
      <c r="AA227" s="13">
        <f>IF(Augmented_Data!Q227="0 delivery charge",Augmented_Data!Z227-Augmented_Data!T227,Augmented_Data!Z227*(1-Augmented_Data!Q227))</f>
        <v>1337.796</v>
      </c>
    </row>
    <row r="228" spans="1:27" x14ac:dyDescent="0.3">
      <c r="A228" s="14" t="s">
        <v>35</v>
      </c>
      <c r="B228" s="14" t="str">
        <f>_xlfn.CONCAT(Augmented_Data!$C228," ",Augmented_Data!$D228)</f>
        <v>Mallory Mitchell</v>
      </c>
      <c r="C228" s="14" t="s">
        <v>135</v>
      </c>
      <c r="D228" s="14" t="s">
        <v>162</v>
      </c>
      <c r="E228" s="14">
        <v>42</v>
      </c>
      <c r="F228" s="14" t="s">
        <v>289</v>
      </c>
      <c r="G228" s="14" t="s">
        <v>297</v>
      </c>
      <c r="H228" s="14" t="s">
        <v>316</v>
      </c>
      <c r="I228" s="14" t="s">
        <v>416</v>
      </c>
      <c r="J228" s="14" t="s">
        <v>725</v>
      </c>
      <c r="K228" s="15">
        <v>45555</v>
      </c>
      <c r="L228" s="14" t="s">
        <v>1225</v>
      </c>
      <c r="M228" s="14" t="s">
        <v>1497</v>
      </c>
      <c r="N228" s="14">
        <v>308.88</v>
      </c>
      <c r="O228" s="14">
        <v>1</v>
      </c>
      <c r="P228" s="14" t="s">
        <v>1548</v>
      </c>
      <c r="Q228" s="14" t="str">
        <f>_xlfn.IFS(Augmented_Data!$P228="FLAT8","8%",Augmented_Data!$P228="FLAT10","10%",Augmented_Data!$P228="FLAT15","15%",Augmented_Data!$P228="FLAT20","20%",Augmented_Data!$P228="DEL0","0 delivery charge")</f>
        <v>15%</v>
      </c>
      <c r="R228" s="14">
        <v>3</v>
      </c>
      <c r="S228" s="14" t="str">
        <f>_xlfn.IFS(Augmented_Data!U228-Augmented_Data!K228=Augmented_Data!$R228,"Intime",Augmented_Data!U228-Augmented_Data!K228&lt;Augmented_Data!R228,"Before Time",Augmented_Data!U228-Augmented_Data!K228&gt;Augmented_Data!R228,"Late")</f>
        <v>Before Time</v>
      </c>
      <c r="T228" s="14">
        <v>54</v>
      </c>
      <c r="U228" s="15">
        <v>45556</v>
      </c>
      <c r="V228" s="14">
        <f>DATEDIF(Augmented_Data!$K228,Augmented_Data!$U228,"D")</f>
        <v>1</v>
      </c>
      <c r="W228" s="14" t="s">
        <v>1776</v>
      </c>
      <c r="X228" s="14">
        <f>Augmented_Data!$Z228-Augmented_Data!$AA228</f>
        <v>54.432000000000016</v>
      </c>
      <c r="Y228" s="14">
        <f>Augmented_Data!$N228*Augmented_Data!$O228</f>
        <v>308.88</v>
      </c>
      <c r="Z228" s="14">
        <f>Augmented_Data!$Y228+Augmented_Data!$T228</f>
        <v>362.88</v>
      </c>
      <c r="AA228" s="16">
        <f>IF(Augmented_Data!Q228="0 delivery charge",Augmented_Data!Z228-Augmented_Data!T228,Augmented_Data!Z228*(1-Augmented_Data!Q228))</f>
        <v>308.44799999999998</v>
      </c>
    </row>
    <row r="229" spans="1:27" x14ac:dyDescent="0.3">
      <c r="A229" s="11" t="s">
        <v>18</v>
      </c>
      <c r="B229" s="11" t="str">
        <f>_xlfn.CONCAT(Augmented_Data!$C229," ",Augmented_Data!$D229)</f>
        <v>Anne Oconnell</v>
      </c>
      <c r="C229" s="11" t="s">
        <v>118</v>
      </c>
      <c r="D229" s="11" t="s">
        <v>201</v>
      </c>
      <c r="E229" s="11">
        <v>37</v>
      </c>
      <c r="F229" s="11" t="s">
        <v>288</v>
      </c>
      <c r="G229" s="11" t="s">
        <v>291</v>
      </c>
      <c r="H229" s="11" t="s">
        <v>299</v>
      </c>
      <c r="I229" s="11" t="s">
        <v>399</v>
      </c>
      <c r="J229" s="11" t="s">
        <v>726</v>
      </c>
      <c r="K229" s="12">
        <v>45162</v>
      </c>
      <c r="L229" s="11" t="s">
        <v>1226</v>
      </c>
      <c r="M229" s="11" t="s">
        <v>1515</v>
      </c>
      <c r="N229" s="11">
        <v>132.97</v>
      </c>
      <c r="O229" s="11">
        <v>4</v>
      </c>
      <c r="P229" s="11" t="s">
        <v>1549</v>
      </c>
      <c r="Q229" s="11" t="str">
        <f>_xlfn.IFS(Augmented_Data!$P229="FLAT8","8%",Augmented_Data!$P229="FLAT10","10%",Augmented_Data!$P229="FLAT15","15%",Augmented_Data!$P229="FLAT20","20%",Augmented_Data!$P229="DEL0","0 delivery charge")</f>
        <v>10%</v>
      </c>
      <c r="R229" s="11">
        <v>3</v>
      </c>
      <c r="S229" s="11" t="str">
        <f>_xlfn.IFS(Augmented_Data!U229-Augmented_Data!K229=Augmented_Data!$R229,"Intime",Augmented_Data!U229-Augmented_Data!K229&lt;Augmented_Data!R229,"Before Time",Augmented_Data!U229-Augmented_Data!K229&gt;Augmented_Data!R229,"Late")</f>
        <v>Before Time</v>
      </c>
      <c r="T229" s="11">
        <v>43</v>
      </c>
      <c r="U229" s="12">
        <v>45163</v>
      </c>
      <c r="V229" s="11">
        <f>DATEDIF(Augmented_Data!$K229,Augmented_Data!$U229,"D")</f>
        <v>1</v>
      </c>
      <c r="W229" s="11" t="s">
        <v>1777</v>
      </c>
      <c r="X229" s="11">
        <f>Augmented_Data!$Z229-Augmented_Data!$AA229</f>
        <v>57.487999999999943</v>
      </c>
      <c r="Y229" s="11">
        <f>Augmented_Data!$N229*Augmented_Data!$O229</f>
        <v>531.88</v>
      </c>
      <c r="Z229" s="11">
        <f>Augmented_Data!$Y229+Augmented_Data!$T229</f>
        <v>574.88</v>
      </c>
      <c r="AA229" s="13">
        <f>IF(Augmented_Data!Q229="0 delivery charge",Augmented_Data!Z229-Augmented_Data!T229,Augmented_Data!Z229*(1-Augmented_Data!Q229))</f>
        <v>517.39200000000005</v>
      </c>
    </row>
    <row r="230" spans="1:27" x14ac:dyDescent="0.3">
      <c r="A230" s="14" t="s">
        <v>40</v>
      </c>
      <c r="B230" s="14" t="str">
        <f>_xlfn.CONCAT(Augmented_Data!$C230," ",Augmented_Data!$D230)</f>
        <v>John Herrera</v>
      </c>
      <c r="C230" s="14" t="s">
        <v>121</v>
      </c>
      <c r="D230" s="14" t="s">
        <v>221</v>
      </c>
      <c r="E230" s="14">
        <v>64</v>
      </c>
      <c r="F230" s="14" t="s">
        <v>289</v>
      </c>
      <c r="G230" s="14" t="s">
        <v>292</v>
      </c>
      <c r="H230" s="14" t="s">
        <v>321</v>
      </c>
      <c r="I230" s="14" t="s">
        <v>421</v>
      </c>
      <c r="J230" s="14" t="s">
        <v>727</v>
      </c>
      <c r="K230" s="15">
        <v>45488</v>
      </c>
      <c r="L230" s="14" t="s">
        <v>1227</v>
      </c>
      <c r="M230" s="14" t="s">
        <v>1506</v>
      </c>
      <c r="N230" s="14">
        <v>372.62</v>
      </c>
      <c r="O230" s="14">
        <v>4</v>
      </c>
      <c r="P230" s="14" t="s">
        <v>2047</v>
      </c>
      <c r="Q230" s="14" t="str">
        <f>_xlfn.IFS(Augmented_Data!$P230="FLAT8","8%",Augmented_Data!$P230="FLAT10","10%",Augmented_Data!$P230="FLAT15","15%",Augmented_Data!$P230="FLAT20","20%",Augmented_Data!$P230="DEL0","0 delivery charge")</f>
        <v>8%</v>
      </c>
      <c r="R230" s="14">
        <v>1</v>
      </c>
      <c r="S230" s="14" t="str">
        <f>_xlfn.IFS(Augmented_Data!U230-Augmented_Data!K230=Augmented_Data!$R230,"Intime",Augmented_Data!U230-Augmented_Data!K230&lt;Augmented_Data!R230,"Before Time",Augmented_Data!U230-Augmented_Data!K230&gt;Augmented_Data!R230,"Late")</f>
        <v>Late</v>
      </c>
      <c r="T230" s="14">
        <v>45</v>
      </c>
      <c r="U230" s="15">
        <v>45492</v>
      </c>
      <c r="V230" s="14">
        <f>DATEDIF(Augmented_Data!$K230,Augmented_Data!$U230,"D")</f>
        <v>4</v>
      </c>
      <c r="W230" s="14" t="s">
        <v>1778</v>
      </c>
      <c r="X230" s="14">
        <f>Augmented_Data!$Z230-Augmented_Data!$AA230</f>
        <v>122.83839999999987</v>
      </c>
      <c r="Y230" s="14">
        <f>Augmented_Data!$N230*Augmented_Data!$O230</f>
        <v>1490.48</v>
      </c>
      <c r="Z230" s="14">
        <f>Augmented_Data!$Y230+Augmented_Data!$T230</f>
        <v>1535.48</v>
      </c>
      <c r="AA230" s="16">
        <f>IF(Augmented_Data!Q230="0 delivery charge",Augmented_Data!Z230-Augmented_Data!T230,Augmented_Data!Z230*(1-Augmented_Data!Q230))</f>
        <v>1412.6416000000002</v>
      </c>
    </row>
    <row r="231" spans="1:27" x14ac:dyDescent="0.3">
      <c r="A231" s="11" t="s">
        <v>65</v>
      </c>
      <c r="B231" s="11" t="str">
        <f>_xlfn.CONCAT(Augmented_Data!$C231," ",Augmented_Data!$D231)</f>
        <v>Lori Cook</v>
      </c>
      <c r="C231" s="11" t="s">
        <v>160</v>
      </c>
      <c r="D231" s="11" t="s">
        <v>246</v>
      </c>
      <c r="E231" s="11">
        <v>18</v>
      </c>
      <c r="F231" s="11" t="s">
        <v>289</v>
      </c>
      <c r="G231" s="11" t="s">
        <v>292</v>
      </c>
      <c r="H231" s="11" t="s">
        <v>346</v>
      </c>
      <c r="I231" s="11" t="s">
        <v>446</v>
      </c>
      <c r="J231" s="11" t="s">
        <v>728</v>
      </c>
      <c r="K231" s="12">
        <v>45273</v>
      </c>
      <c r="L231" s="11" t="s">
        <v>1228</v>
      </c>
      <c r="M231" s="11" t="s">
        <v>1516</v>
      </c>
      <c r="N231" s="11">
        <v>126.19</v>
      </c>
      <c r="O231" s="11">
        <v>5</v>
      </c>
      <c r="P231" s="11" t="s">
        <v>1549</v>
      </c>
      <c r="Q231" s="11" t="str">
        <f>_xlfn.IFS(Augmented_Data!$P231="FLAT8","8%",Augmented_Data!$P231="FLAT10","10%",Augmented_Data!$P231="FLAT15","15%",Augmented_Data!$P231="FLAT20","20%",Augmented_Data!$P231="DEL0","0 delivery charge")</f>
        <v>10%</v>
      </c>
      <c r="R231" s="11">
        <v>4</v>
      </c>
      <c r="S231" s="11" t="str">
        <f>_xlfn.IFS(Augmented_Data!U231-Augmented_Data!K231=Augmented_Data!$R231,"Intime",Augmented_Data!U231-Augmented_Data!K231&lt;Augmented_Data!R231,"Before Time",Augmented_Data!U231-Augmented_Data!K231&gt;Augmented_Data!R231,"Late")</f>
        <v>Late</v>
      </c>
      <c r="T231" s="11">
        <v>47</v>
      </c>
      <c r="U231" s="12">
        <v>45280</v>
      </c>
      <c r="V231" s="11">
        <f>DATEDIF(Augmented_Data!$K231,Augmented_Data!$U231,"D")</f>
        <v>7</v>
      </c>
      <c r="W231" s="11" t="s">
        <v>1779</v>
      </c>
      <c r="X231" s="11">
        <f>Augmented_Data!$Z231-Augmented_Data!$AA231</f>
        <v>67.794999999999959</v>
      </c>
      <c r="Y231" s="11">
        <f>Augmented_Data!$N231*Augmented_Data!$O231</f>
        <v>630.95000000000005</v>
      </c>
      <c r="Z231" s="11">
        <f>Augmented_Data!$Y231+Augmented_Data!$T231</f>
        <v>677.95</v>
      </c>
      <c r="AA231" s="13">
        <f>IF(Augmented_Data!Q231="0 delivery charge",Augmented_Data!Z231-Augmented_Data!T231,Augmented_Data!Z231*(1-Augmented_Data!Q231))</f>
        <v>610.15500000000009</v>
      </c>
    </row>
    <row r="232" spans="1:27" x14ac:dyDescent="0.3">
      <c r="A232" s="14" t="s">
        <v>103</v>
      </c>
      <c r="B232" s="14" t="str">
        <f>_xlfn.CONCAT(Augmented_Data!$C232," ",Augmented_Data!$D232)</f>
        <v>Gary Huff</v>
      </c>
      <c r="C232" s="14" t="s">
        <v>191</v>
      </c>
      <c r="D232" s="14" t="s">
        <v>277</v>
      </c>
      <c r="E232" s="14">
        <v>18</v>
      </c>
      <c r="F232" s="14" t="s">
        <v>288</v>
      </c>
      <c r="G232" s="14" t="s">
        <v>295</v>
      </c>
      <c r="H232" s="14" t="s">
        <v>384</v>
      </c>
      <c r="I232" s="14" t="s">
        <v>484</v>
      </c>
      <c r="J232" s="14" t="s">
        <v>724</v>
      </c>
      <c r="K232" s="15">
        <v>45117</v>
      </c>
      <c r="L232" s="14" t="s">
        <v>1224</v>
      </c>
      <c r="M232" s="14" t="s">
        <v>1536</v>
      </c>
      <c r="N232" s="14">
        <v>403.03</v>
      </c>
      <c r="O232" s="14">
        <v>2</v>
      </c>
      <c r="P232" s="14" t="s">
        <v>1548</v>
      </c>
      <c r="Q232" s="14" t="str">
        <f>_xlfn.IFS(Augmented_Data!$P232="FLAT8","8%",Augmented_Data!$P232="FLAT10","10%",Augmented_Data!$P232="FLAT15","15%",Augmented_Data!$P232="FLAT20","20%",Augmented_Data!$P232="DEL0","0 delivery charge")</f>
        <v>15%</v>
      </c>
      <c r="R232" s="14">
        <v>7</v>
      </c>
      <c r="S232" s="14" t="str">
        <f>_xlfn.IFS(Augmented_Data!U232-Augmented_Data!K232=Augmented_Data!$R232,"Intime",Augmented_Data!U232-Augmented_Data!K232&lt;Augmented_Data!R232,"Before Time",Augmented_Data!U232-Augmented_Data!K232&gt;Augmented_Data!R232,"Late")</f>
        <v>Before Time</v>
      </c>
      <c r="T232" s="14">
        <v>45</v>
      </c>
      <c r="U232" s="15">
        <v>45118</v>
      </c>
      <c r="V232" s="14">
        <f>DATEDIF(Augmented_Data!$K232,Augmented_Data!$U232,"D")</f>
        <v>1</v>
      </c>
      <c r="W232" s="14" t="s">
        <v>1775</v>
      </c>
      <c r="X232" s="14">
        <f>Augmented_Data!$Z232-Augmented_Data!$AA232</f>
        <v>127.65899999999999</v>
      </c>
      <c r="Y232" s="14">
        <f>Augmented_Data!$N232*Augmented_Data!$O232</f>
        <v>806.06</v>
      </c>
      <c r="Z232" s="14">
        <f>Augmented_Data!$Y232+Augmented_Data!$T232</f>
        <v>851.06</v>
      </c>
      <c r="AA232" s="16">
        <f>IF(Augmented_Data!Q232="0 delivery charge",Augmented_Data!Z232-Augmented_Data!T232,Augmented_Data!Z232*(1-Augmented_Data!Q232))</f>
        <v>723.40099999999995</v>
      </c>
    </row>
    <row r="233" spans="1:27" x14ac:dyDescent="0.3">
      <c r="A233" s="11" t="s">
        <v>103</v>
      </c>
      <c r="B233" s="11" t="str">
        <f>_xlfn.CONCAT(Augmented_Data!$C233," ",Augmented_Data!$D233)</f>
        <v>Gary Huff</v>
      </c>
      <c r="C233" s="11" t="s">
        <v>191</v>
      </c>
      <c r="D233" s="11" t="s">
        <v>277</v>
      </c>
      <c r="E233" s="11">
        <v>18</v>
      </c>
      <c r="F233" s="11" t="s">
        <v>288</v>
      </c>
      <c r="G233" s="11" t="s">
        <v>295</v>
      </c>
      <c r="H233" s="11" t="s">
        <v>384</v>
      </c>
      <c r="I233" s="11" t="s">
        <v>484</v>
      </c>
      <c r="J233" s="11" t="s">
        <v>729</v>
      </c>
      <c r="K233" s="12">
        <v>45392</v>
      </c>
      <c r="L233" s="11" t="s">
        <v>1229</v>
      </c>
      <c r="M233" s="11" t="s">
        <v>1524</v>
      </c>
      <c r="N233" s="11">
        <v>157.63999999999999</v>
      </c>
      <c r="O233" s="11">
        <v>2</v>
      </c>
      <c r="P233" s="11" t="s">
        <v>1548</v>
      </c>
      <c r="Q233" s="11" t="str">
        <f>_xlfn.IFS(Augmented_Data!$P233="FLAT8","8%",Augmented_Data!$P233="FLAT10","10%",Augmented_Data!$P233="FLAT15","15%",Augmented_Data!$P233="FLAT20","20%",Augmented_Data!$P233="DEL0","0 delivery charge")</f>
        <v>15%</v>
      </c>
      <c r="R233" s="11">
        <v>5</v>
      </c>
      <c r="S233" s="11" t="str">
        <f>_xlfn.IFS(Augmented_Data!U233-Augmented_Data!K233=Augmented_Data!$R233,"Intime",Augmented_Data!U233-Augmented_Data!K233&lt;Augmented_Data!R233,"Before Time",Augmented_Data!U233-Augmented_Data!K233&gt;Augmented_Data!R233,"Late")</f>
        <v>Before Time</v>
      </c>
      <c r="T233" s="11">
        <v>64</v>
      </c>
      <c r="U233" s="12">
        <v>45395</v>
      </c>
      <c r="V233" s="11">
        <f>DATEDIF(Augmented_Data!$K233,Augmented_Data!$U233,"D")</f>
        <v>3</v>
      </c>
      <c r="W233" s="11" t="s">
        <v>1780</v>
      </c>
      <c r="X233" s="11">
        <f>Augmented_Data!$Z233-Augmented_Data!$AA233</f>
        <v>56.891999999999996</v>
      </c>
      <c r="Y233" s="11">
        <f>Augmented_Data!$N233*Augmented_Data!$O233</f>
        <v>315.27999999999997</v>
      </c>
      <c r="Z233" s="11">
        <f>Augmented_Data!$Y233+Augmented_Data!$T233</f>
        <v>379.28</v>
      </c>
      <c r="AA233" s="13">
        <f>IF(Augmented_Data!Q233="0 delivery charge",Augmented_Data!Z233-Augmented_Data!T233,Augmented_Data!Z233*(1-Augmented_Data!Q233))</f>
        <v>322.38799999999998</v>
      </c>
    </row>
    <row r="234" spans="1:27" x14ac:dyDescent="0.3">
      <c r="A234" s="14" t="s">
        <v>105</v>
      </c>
      <c r="B234" s="14" t="str">
        <f>_xlfn.CONCAT(Augmented_Data!$C234," ",Augmented_Data!$D234)</f>
        <v>Mike Carter</v>
      </c>
      <c r="C234" s="14" t="s">
        <v>192</v>
      </c>
      <c r="D234" s="14" t="s">
        <v>279</v>
      </c>
      <c r="E234" s="14">
        <v>59</v>
      </c>
      <c r="F234" s="14" t="s">
        <v>290</v>
      </c>
      <c r="G234" s="14" t="s">
        <v>297</v>
      </c>
      <c r="H234" s="14" t="s">
        <v>386</v>
      </c>
      <c r="I234" s="14" t="s">
        <v>486</v>
      </c>
      <c r="J234" s="14" t="s">
        <v>731</v>
      </c>
      <c r="K234" s="15">
        <v>45251</v>
      </c>
      <c r="L234" s="14" t="s">
        <v>1231</v>
      </c>
      <c r="M234" s="14" t="s">
        <v>1529</v>
      </c>
      <c r="N234" s="14">
        <v>128.13999999999999</v>
      </c>
      <c r="O234" s="14">
        <v>1</v>
      </c>
      <c r="P234" s="14" t="s">
        <v>1549</v>
      </c>
      <c r="Q234" s="14" t="str">
        <f>_xlfn.IFS(Augmented_Data!$P234="FLAT8","8%",Augmented_Data!$P234="FLAT10","10%",Augmented_Data!$P234="FLAT15","15%",Augmented_Data!$P234="FLAT20","20%",Augmented_Data!$P234="DEL0","0 delivery charge")</f>
        <v>10%</v>
      </c>
      <c r="R234" s="14">
        <v>7</v>
      </c>
      <c r="S234" s="14" t="str">
        <f>_xlfn.IFS(Augmented_Data!U234-Augmented_Data!K234=Augmented_Data!$R234,"Intime",Augmented_Data!U234-Augmented_Data!K234&lt;Augmented_Data!R234,"Before Time",Augmented_Data!U234-Augmented_Data!K234&gt;Augmented_Data!R234,"Late")</f>
        <v>Before Time</v>
      </c>
      <c r="T234" s="14">
        <v>52</v>
      </c>
      <c r="U234" s="15">
        <v>45254</v>
      </c>
      <c r="V234" s="14">
        <f>DATEDIF(Augmented_Data!$K234,Augmented_Data!$U234,"D")</f>
        <v>3</v>
      </c>
      <c r="W234" s="14" t="s">
        <v>1782</v>
      </c>
      <c r="X234" s="14">
        <f>Augmented_Data!$Z234-Augmented_Data!$AA234</f>
        <v>18.013999999999982</v>
      </c>
      <c r="Y234" s="14">
        <f>Augmented_Data!$N234*Augmented_Data!$O234</f>
        <v>128.13999999999999</v>
      </c>
      <c r="Z234" s="14">
        <f>Augmented_Data!$Y234+Augmented_Data!$T234</f>
        <v>180.14</v>
      </c>
      <c r="AA234" s="16">
        <f>IF(Augmented_Data!Q234="0 delivery charge",Augmented_Data!Z234-Augmented_Data!T234,Augmented_Data!Z234*(1-Augmented_Data!Q234))</f>
        <v>162.126</v>
      </c>
    </row>
    <row r="235" spans="1:27" x14ac:dyDescent="0.3">
      <c r="A235" s="11" t="s">
        <v>46</v>
      </c>
      <c r="B235" s="11" t="str">
        <f>_xlfn.CONCAT(Augmented_Data!$C235," ",Augmented_Data!$D235)</f>
        <v>Lauren Long</v>
      </c>
      <c r="C235" s="11" t="s">
        <v>144</v>
      </c>
      <c r="D235" s="11" t="s">
        <v>227</v>
      </c>
      <c r="E235" s="11">
        <v>44</v>
      </c>
      <c r="F235" s="11" t="s">
        <v>288</v>
      </c>
      <c r="G235" s="11" t="s">
        <v>298</v>
      </c>
      <c r="H235" s="11" t="s">
        <v>327</v>
      </c>
      <c r="I235" s="11" t="s">
        <v>427</v>
      </c>
      <c r="J235" s="11" t="s">
        <v>732</v>
      </c>
      <c r="K235" s="12">
        <v>45348</v>
      </c>
      <c r="L235" s="11" t="s">
        <v>1232</v>
      </c>
      <c r="M235" s="11" t="s">
        <v>1507</v>
      </c>
      <c r="N235" s="11">
        <v>257.06</v>
      </c>
      <c r="O235" s="11">
        <v>3</v>
      </c>
      <c r="P235" s="11" t="s">
        <v>1547</v>
      </c>
      <c r="Q235" s="11" t="str">
        <f>_xlfn.IFS(Augmented_Data!$P235="FLAT8","8%",Augmented_Data!$P235="FLAT10","10%",Augmented_Data!$P235="FLAT15","15%",Augmented_Data!$P235="FLAT20","20%",Augmented_Data!$P235="DEL0","0 delivery charge")</f>
        <v>0 delivery charge</v>
      </c>
      <c r="R235" s="11">
        <v>5</v>
      </c>
      <c r="S235" s="11" t="str">
        <f>_xlfn.IFS(Augmented_Data!U235-Augmented_Data!K235=Augmented_Data!$R235,"Intime",Augmented_Data!U235-Augmented_Data!K235&lt;Augmented_Data!R235,"Before Time",Augmented_Data!U235-Augmented_Data!K235&gt;Augmented_Data!R235,"Late")</f>
        <v>Late</v>
      </c>
      <c r="T235" s="11">
        <v>63</v>
      </c>
      <c r="U235" s="12">
        <v>45354</v>
      </c>
      <c r="V235" s="11">
        <f>DATEDIF(Augmented_Data!$K235,Augmented_Data!$U235,"D")</f>
        <v>6</v>
      </c>
      <c r="W235" s="11" t="s">
        <v>1783</v>
      </c>
      <c r="X235" s="11">
        <f>Augmented_Data!$Z235-Augmented_Data!$AA235</f>
        <v>63</v>
      </c>
      <c r="Y235" s="11">
        <f>Augmented_Data!$N235*Augmented_Data!$O235</f>
        <v>771.18000000000006</v>
      </c>
      <c r="Z235" s="11">
        <f>Augmented_Data!$Y235+Augmented_Data!$T235</f>
        <v>834.18000000000006</v>
      </c>
      <c r="AA235" s="13">
        <f>IF(Augmented_Data!Q235="0 delivery charge",Augmented_Data!Z235-Augmented_Data!T235,Augmented_Data!Z235*(1-Augmented_Data!Q235))</f>
        <v>771.18000000000006</v>
      </c>
    </row>
    <row r="236" spans="1:27" x14ac:dyDescent="0.3">
      <c r="A236" s="14" t="s">
        <v>74</v>
      </c>
      <c r="B236" s="14" t="str">
        <f>_xlfn.CONCAT(Augmented_Data!$C236," ",Augmented_Data!$D236)</f>
        <v>Jodi Whitney</v>
      </c>
      <c r="C236" s="14" t="s">
        <v>167</v>
      </c>
      <c r="D236" s="14" t="s">
        <v>252</v>
      </c>
      <c r="E236" s="14">
        <v>33</v>
      </c>
      <c r="F236" s="14" t="s">
        <v>290</v>
      </c>
      <c r="G236" s="14" t="s">
        <v>297</v>
      </c>
      <c r="H236" s="14" t="s">
        <v>355</v>
      </c>
      <c r="I236" s="14" t="s">
        <v>455</v>
      </c>
      <c r="J236" s="14" t="s">
        <v>733</v>
      </c>
      <c r="K236" s="15">
        <v>45257</v>
      </c>
      <c r="L236" s="14" t="s">
        <v>1233</v>
      </c>
      <c r="M236" s="14" t="s">
        <v>1511</v>
      </c>
      <c r="N236" s="14">
        <v>272.51</v>
      </c>
      <c r="O236" s="14">
        <v>2</v>
      </c>
      <c r="P236" s="14" t="s">
        <v>1549</v>
      </c>
      <c r="Q236" s="14" t="str">
        <f>_xlfn.IFS(Augmented_Data!$P236="FLAT8","8%",Augmented_Data!$P236="FLAT10","10%",Augmented_Data!$P236="FLAT15","15%",Augmented_Data!$P236="FLAT20","20%",Augmented_Data!$P236="DEL0","0 delivery charge")</f>
        <v>10%</v>
      </c>
      <c r="R236" s="14">
        <v>4</v>
      </c>
      <c r="S236" s="14" t="str">
        <f>_xlfn.IFS(Augmented_Data!U236-Augmented_Data!K236=Augmented_Data!$R236,"Intime",Augmented_Data!U236-Augmented_Data!K236&lt;Augmented_Data!R236,"Before Time",Augmented_Data!U236-Augmented_Data!K236&gt;Augmented_Data!R236,"Late")</f>
        <v>Late</v>
      </c>
      <c r="T236" s="14">
        <v>48</v>
      </c>
      <c r="U236" s="15">
        <v>45264</v>
      </c>
      <c r="V236" s="14">
        <f>DATEDIF(Augmented_Data!$K236,Augmented_Data!$U236,"D")</f>
        <v>7</v>
      </c>
      <c r="W236" s="14" t="s">
        <v>1784</v>
      </c>
      <c r="X236" s="14">
        <f>Augmented_Data!$Z236-Augmented_Data!$AA236</f>
        <v>59.302000000000021</v>
      </c>
      <c r="Y236" s="14">
        <f>Augmented_Data!$N236*Augmented_Data!$O236</f>
        <v>545.02</v>
      </c>
      <c r="Z236" s="14">
        <f>Augmented_Data!$Y236+Augmented_Data!$T236</f>
        <v>593.02</v>
      </c>
      <c r="AA236" s="16">
        <f>IF(Augmented_Data!Q236="0 delivery charge",Augmented_Data!Z236-Augmented_Data!T236,Augmented_Data!Z236*(1-Augmented_Data!Q236))</f>
        <v>533.71799999999996</v>
      </c>
    </row>
    <row r="237" spans="1:27" x14ac:dyDescent="0.3">
      <c r="A237" s="11" t="s">
        <v>46</v>
      </c>
      <c r="B237" s="11" t="str">
        <f>_xlfn.CONCAT(Augmented_Data!$C237," ",Augmented_Data!$D237)</f>
        <v>Lauren Long</v>
      </c>
      <c r="C237" s="11" t="s">
        <v>144</v>
      </c>
      <c r="D237" s="11" t="s">
        <v>227</v>
      </c>
      <c r="E237" s="11">
        <v>44</v>
      </c>
      <c r="F237" s="11" t="s">
        <v>288</v>
      </c>
      <c r="G237" s="11" t="s">
        <v>298</v>
      </c>
      <c r="H237" s="11" t="s">
        <v>327</v>
      </c>
      <c r="I237" s="11" t="s">
        <v>427</v>
      </c>
      <c r="J237" s="11" t="s">
        <v>734</v>
      </c>
      <c r="K237" s="12">
        <v>45390</v>
      </c>
      <c r="L237" s="11" t="s">
        <v>1234</v>
      </c>
      <c r="M237" s="11" t="s">
        <v>1503</v>
      </c>
      <c r="N237" s="11">
        <v>363.64</v>
      </c>
      <c r="O237" s="11">
        <v>3</v>
      </c>
      <c r="P237" s="11" t="s">
        <v>1548</v>
      </c>
      <c r="Q237" s="11" t="str">
        <f>_xlfn.IFS(Augmented_Data!$P237="FLAT8","8%",Augmented_Data!$P237="FLAT10","10%",Augmented_Data!$P237="FLAT15","15%",Augmented_Data!$P237="FLAT20","20%",Augmented_Data!$P237="DEL0","0 delivery charge")</f>
        <v>15%</v>
      </c>
      <c r="R237" s="11">
        <v>1</v>
      </c>
      <c r="S237" s="11" t="str">
        <f>_xlfn.IFS(Augmented_Data!U237-Augmented_Data!K237=Augmented_Data!$R237,"Intime",Augmented_Data!U237-Augmented_Data!K237&lt;Augmented_Data!R237,"Before Time",Augmented_Data!U237-Augmented_Data!K237&gt;Augmented_Data!R237,"Late")</f>
        <v>Late</v>
      </c>
      <c r="T237" s="11">
        <v>47</v>
      </c>
      <c r="U237" s="12">
        <v>45395</v>
      </c>
      <c r="V237" s="11">
        <f>DATEDIF(Augmented_Data!$K237,Augmented_Data!$U237,"D")</f>
        <v>5</v>
      </c>
      <c r="W237" s="11" t="s">
        <v>1785</v>
      </c>
      <c r="X237" s="11">
        <f>Augmented_Data!$Z237-Augmented_Data!$AA237</f>
        <v>170.68799999999999</v>
      </c>
      <c r="Y237" s="11">
        <f>Augmented_Data!$N237*Augmented_Data!$O237</f>
        <v>1090.92</v>
      </c>
      <c r="Z237" s="11">
        <f>Augmented_Data!$Y237+Augmented_Data!$T237</f>
        <v>1137.92</v>
      </c>
      <c r="AA237" s="13">
        <f>IF(Augmented_Data!Q237="0 delivery charge",Augmented_Data!Z237-Augmented_Data!T237,Augmented_Data!Z237*(1-Augmented_Data!Q237))</f>
        <v>967.23200000000008</v>
      </c>
    </row>
    <row r="238" spans="1:27" x14ac:dyDescent="0.3">
      <c r="A238" s="14" t="s">
        <v>77</v>
      </c>
      <c r="B238" s="14" t="str">
        <f>_xlfn.CONCAT(Augmented_Data!$C238," ",Augmented_Data!$D238)</f>
        <v>William Mann</v>
      </c>
      <c r="C238" s="14" t="s">
        <v>169</v>
      </c>
      <c r="D238" s="14" t="s">
        <v>255</v>
      </c>
      <c r="E238" s="14">
        <v>21</v>
      </c>
      <c r="F238" s="14" t="s">
        <v>288</v>
      </c>
      <c r="G238" s="14" t="s">
        <v>292</v>
      </c>
      <c r="H238" s="14" t="s">
        <v>358</v>
      </c>
      <c r="I238" s="14" t="s">
        <v>458</v>
      </c>
      <c r="J238" s="14" t="s">
        <v>735</v>
      </c>
      <c r="K238" s="15">
        <v>45578</v>
      </c>
      <c r="L238" s="14" t="s">
        <v>1235</v>
      </c>
      <c r="M238" s="14" t="s">
        <v>1503</v>
      </c>
      <c r="N238" s="14">
        <v>363.64</v>
      </c>
      <c r="O238" s="14">
        <v>3</v>
      </c>
      <c r="P238" s="14" t="s">
        <v>1550</v>
      </c>
      <c r="Q238" s="14" t="str">
        <f>_xlfn.IFS(Augmented_Data!$P238="FLAT8","8%",Augmented_Data!$P238="FLAT10","10%",Augmented_Data!$P238="FLAT15","15%",Augmented_Data!$P238="FLAT20","20%",Augmented_Data!$P238="DEL0","0 delivery charge")</f>
        <v>20%</v>
      </c>
      <c r="R238" s="14">
        <v>6</v>
      </c>
      <c r="S238" s="14" t="str">
        <f>_xlfn.IFS(Augmented_Data!U238-Augmented_Data!K238=Augmented_Data!$R238,"Intime",Augmented_Data!U238-Augmented_Data!K238&lt;Augmented_Data!R238,"Before Time",Augmented_Data!U238-Augmented_Data!K238&gt;Augmented_Data!R238,"Late")</f>
        <v>Late</v>
      </c>
      <c r="T238" s="14">
        <v>64</v>
      </c>
      <c r="U238" s="15">
        <v>45585</v>
      </c>
      <c r="V238" s="14">
        <f>DATEDIF(Augmented_Data!$K238,Augmented_Data!$U238,"D")</f>
        <v>7</v>
      </c>
      <c r="W238" s="14" t="s">
        <v>1786</v>
      </c>
      <c r="X238" s="14">
        <f>Augmented_Data!$Z238-Augmented_Data!$AA238</f>
        <v>230.98399999999992</v>
      </c>
      <c r="Y238" s="14">
        <f>Augmented_Data!$N238*Augmented_Data!$O238</f>
        <v>1090.92</v>
      </c>
      <c r="Z238" s="14">
        <f>Augmented_Data!$Y238+Augmented_Data!$T238</f>
        <v>1154.92</v>
      </c>
      <c r="AA238" s="16">
        <f>IF(Augmented_Data!Q238="0 delivery charge",Augmented_Data!Z238-Augmented_Data!T238,Augmented_Data!Z238*(1-Augmented_Data!Q238))</f>
        <v>923.93600000000015</v>
      </c>
    </row>
    <row r="239" spans="1:27" x14ac:dyDescent="0.3">
      <c r="A239" s="11" t="s">
        <v>80</v>
      </c>
      <c r="B239" s="11" t="str">
        <f>_xlfn.CONCAT(Augmented_Data!$C239," ",Augmented_Data!$D239)</f>
        <v>Amy Ellis</v>
      </c>
      <c r="C239" s="11" t="s">
        <v>131</v>
      </c>
      <c r="D239" s="11" t="s">
        <v>257</v>
      </c>
      <c r="E239" s="11">
        <v>44</v>
      </c>
      <c r="F239" s="11" t="s">
        <v>290</v>
      </c>
      <c r="G239" s="11" t="s">
        <v>296</v>
      </c>
      <c r="H239" s="11" t="s">
        <v>361</v>
      </c>
      <c r="I239" s="11" t="s">
        <v>461</v>
      </c>
      <c r="J239" s="11" t="s">
        <v>736</v>
      </c>
      <c r="K239" s="12">
        <v>45109</v>
      </c>
      <c r="L239" s="11" t="s">
        <v>1236</v>
      </c>
      <c r="M239" s="11" t="s">
        <v>1539</v>
      </c>
      <c r="N239" s="11">
        <v>235.63</v>
      </c>
      <c r="O239" s="11">
        <v>5</v>
      </c>
      <c r="P239" s="11" t="s">
        <v>1550</v>
      </c>
      <c r="Q239" s="11" t="str">
        <f>_xlfn.IFS(Augmented_Data!$P239="FLAT8","8%",Augmented_Data!$P239="FLAT10","10%",Augmented_Data!$P239="FLAT15","15%",Augmented_Data!$P239="FLAT20","20%",Augmented_Data!$P239="DEL0","0 delivery charge")</f>
        <v>20%</v>
      </c>
      <c r="R239" s="11">
        <v>6</v>
      </c>
      <c r="S239" s="11" t="str">
        <f>_xlfn.IFS(Augmented_Data!U239-Augmented_Data!K239=Augmented_Data!$R239,"Intime",Augmented_Data!U239-Augmented_Data!K239&lt;Augmented_Data!R239,"Before Time",Augmented_Data!U239-Augmented_Data!K239&gt;Augmented_Data!R239,"Late")</f>
        <v>Before Time</v>
      </c>
      <c r="T239" s="11">
        <v>63</v>
      </c>
      <c r="U239" s="12">
        <v>45114</v>
      </c>
      <c r="V239" s="11">
        <f>DATEDIF(Augmented_Data!$K239,Augmented_Data!$U239,"D")</f>
        <v>5</v>
      </c>
      <c r="W239" s="11" t="s">
        <v>1787</v>
      </c>
      <c r="X239" s="11">
        <f>Augmented_Data!$Z239-Augmented_Data!$AA239</f>
        <v>248.23000000000002</v>
      </c>
      <c r="Y239" s="11">
        <f>Augmented_Data!$N239*Augmented_Data!$O239</f>
        <v>1178.1500000000001</v>
      </c>
      <c r="Z239" s="11">
        <f>Augmented_Data!$Y239+Augmented_Data!$T239</f>
        <v>1241.1500000000001</v>
      </c>
      <c r="AA239" s="13">
        <f>IF(Augmented_Data!Q239="0 delivery charge",Augmented_Data!Z239-Augmented_Data!T239,Augmented_Data!Z239*(1-Augmented_Data!Q239))</f>
        <v>992.92000000000007</v>
      </c>
    </row>
    <row r="240" spans="1:27" x14ac:dyDescent="0.3">
      <c r="A240" s="14" t="s">
        <v>106</v>
      </c>
      <c r="B240" s="14" t="str">
        <f>_xlfn.CONCAT(Augmented_Data!$C240," ",Augmented_Data!$D240)</f>
        <v>Thomas Owens</v>
      </c>
      <c r="C240" s="14" t="s">
        <v>154</v>
      </c>
      <c r="D240" s="14" t="s">
        <v>280</v>
      </c>
      <c r="E240" s="14">
        <v>34</v>
      </c>
      <c r="F240" s="14" t="s">
        <v>290</v>
      </c>
      <c r="G240" s="14" t="s">
        <v>298</v>
      </c>
      <c r="H240" s="14" t="s">
        <v>387</v>
      </c>
      <c r="I240" s="14" t="s">
        <v>487</v>
      </c>
      <c r="J240" s="14" t="s">
        <v>737</v>
      </c>
      <c r="K240" s="15">
        <v>45595</v>
      </c>
      <c r="L240" s="14" t="s">
        <v>1237</v>
      </c>
      <c r="M240" s="14" t="s">
        <v>1541</v>
      </c>
      <c r="N240" s="14">
        <v>133.62</v>
      </c>
      <c r="O240" s="14">
        <v>1</v>
      </c>
      <c r="P240" s="14" t="s">
        <v>2047</v>
      </c>
      <c r="Q240" s="14" t="str">
        <f>_xlfn.IFS(Augmented_Data!$P240="FLAT8","8%",Augmented_Data!$P240="FLAT10","10%",Augmented_Data!$P240="FLAT15","15%",Augmented_Data!$P240="FLAT20","20%",Augmented_Data!$P240="DEL0","0 delivery charge")</f>
        <v>8%</v>
      </c>
      <c r="R240" s="14">
        <v>1</v>
      </c>
      <c r="S240" s="14" t="str">
        <f>_xlfn.IFS(Augmented_Data!U240-Augmented_Data!K240=Augmented_Data!$R240,"Intime",Augmented_Data!U240-Augmented_Data!K240&lt;Augmented_Data!R240,"Before Time",Augmented_Data!U240-Augmented_Data!K240&gt;Augmented_Data!R240,"Late")</f>
        <v>Late</v>
      </c>
      <c r="T240" s="14">
        <v>57</v>
      </c>
      <c r="U240" s="15">
        <v>45602</v>
      </c>
      <c r="V240" s="14">
        <f>DATEDIF(Augmented_Data!$K240,Augmented_Data!$U240,"D")</f>
        <v>7</v>
      </c>
      <c r="W240" s="14" t="s">
        <v>1788</v>
      </c>
      <c r="X240" s="14">
        <f>Augmented_Data!$Z240-Augmented_Data!$AA240</f>
        <v>15.249599999999987</v>
      </c>
      <c r="Y240" s="14">
        <f>Augmented_Data!$N240*Augmented_Data!$O240</f>
        <v>133.62</v>
      </c>
      <c r="Z240" s="14">
        <f>Augmented_Data!$Y240+Augmented_Data!$T240</f>
        <v>190.62</v>
      </c>
      <c r="AA240" s="16">
        <f>IF(Augmented_Data!Q240="0 delivery charge",Augmented_Data!Z240-Augmented_Data!T240,Augmented_Data!Z240*(1-Augmented_Data!Q240))</f>
        <v>175.37040000000002</v>
      </c>
    </row>
    <row r="241" spans="1:27" x14ac:dyDescent="0.3">
      <c r="A241" s="11" t="s">
        <v>48</v>
      </c>
      <c r="B241" s="11" t="str">
        <f>_xlfn.CONCAT(Augmented_Data!$C241," ",Augmented_Data!$D241)</f>
        <v>Heather Schneider</v>
      </c>
      <c r="C241" s="11" t="s">
        <v>146</v>
      </c>
      <c r="D241" s="11" t="s">
        <v>229</v>
      </c>
      <c r="E241" s="11">
        <v>48</v>
      </c>
      <c r="F241" s="11" t="s">
        <v>289</v>
      </c>
      <c r="G241" s="11" t="s">
        <v>296</v>
      </c>
      <c r="H241" s="11" t="s">
        <v>329</v>
      </c>
      <c r="I241" s="11" t="s">
        <v>429</v>
      </c>
      <c r="J241" s="11" t="s">
        <v>738</v>
      </c>
      <c r="K241" s="12">
        <v>45616</v>
      </c>
      <c r="L241" s="11" t="s">
        <v>1238</v>
      </c>
      <c r="M241" s="11" t="s">
        <v>1517</v>
      </c>
      <c r="N241" s="11">
        <v>282.63</v>
      </c>
      <c r="O241" s="11">
        <v>4</v>
      </c>
      <c r="P241" s="11" t="s">
        <v>1549</v>
      </c>
      <c r="Q241" s="11" t="str">
        <f>_xlfn.IFS(Augmented_Data!$P241="FLAT8","8%",Augmented_Data!$P241="FLAT10","10%",Augmented_Data!$P241="FLAT15","15%",Augmented_Data!$P241="FLAT20","20%",Augmented_Data!$P241="DEL0","0 delivery charge")</f>
        <v>10%</v>
      </c>
      <c r="R241" s="11">
        <v>1</v>
      </c>
      <c r="S241" s="11" t="str">
        <f>_xlfn.IFS(Augmented_Data!U241-Augmented_Data!K241=Augmented_Data!$R241,"Intime",Augmented_Data!U241-Augmented_Data!K241&lt;Augmented_Data!R241,"Before Time",Augmented_Data!U241-Augmented_Data!K241&gt;Augmented_Data!R241,"Late")</f>
        <v>Late</v>
      </c>
      <c r="T241" s="11">
        <v>60</v>
      </c>
      <c r="U241" s="12">
        <v>45618</v>
      </c>
      <c r="V241" s="11">
        <f>DATEDIF(Augmented_Data!$K241,Augmented_Data!$U241,"D")</f>
        <v>2</v>
      </c>
      <c r="W241" s="11" t="s">
        <v>1789</v>
      </c>
      <c r="X241" s="11">
        <f>Augmented_Data!$Z241-Augmented_Data!$AA241</f>
        <v>119.05199999999991</v>
      </c>
      <c r="Y241" s="11">
        <f>Augmented_Data!$N241*Augmented_Data!$O241</f>
        <v>1130.52</v>
      </c>
      <c r="Z241" s="11">
        <f>Augmented_Data!$Y241+Augmented_Data!$T241</f>
        <v>1190.52</v>
      </c>
      <c r="AA241" s="13">
        <f>IF(Augmented_Data!Q241="0 delivery charge",Augmented_Data!Z241-Augmented_Data!T241,Augmented_Data!Z241*(1-Augmented_Data!Q241))</f>
        <v>1071.4680000000001</v>
      </c>
    </row>
    <row r="242" spans="1:27" x14ac:dyDescent="0.3">
      <c r="A242" s="14" t="s">
        <v>50</v>
      </c>
      <c r="B242" s="14" t="str">
        <f>_xlfn.CONCAT(Augmented_Data!$C242," ",Augmented_Data!$D242)</f>
        <v>Jenny Estrada</v>
      </c>
      <c r="C242" s="14" t="s">
        <v>148</v>
      </c>
      <c r="D242" s="14" t="s">
        <v>231</v>
      </c>
      <c r="E242" s="14">
        <v>45</v>
      </c>
      <c r="F242" s="14" t="s">
        <v>288</v>
      </c>
      <c r="G242" s="14" t="s">
        <v>292</v>
      </c>
      <c r="H242" s="14" t="s">
        <v>331</v>
      </c>
      <c r="I242" s="14" t="s">
        <v>431</v>
      </c>
      <c r="J242" s="14" t="s">
        <v>739</v>
      </c>
      <c r="K242" s="15">
        <v>45271</v>
      </c>
      <c r="L242" s="14" t="s">
        <v>1239</v>
      </c>
      <c r="M242" s="14" t="s">
        <v>1498</v>
      </c>
      <c r="N242" s="14">
        <v>166.28</v>
      </c>
      <c r="O242" s="14">
        <v>3</v>
      </c>
      <c r="P242" s="14" t="s">
        <v>1549</v>
      </c>
      <c r="Q242" s="14" t="str">
        <f>_xlfn.IFS(Augmented_Data!$P242="FLAT8","8%",Augmented_Data!$P242="FLAT10","10%",Augmented_Data!$P242="FLAT15","15%",Augmented_Data!$P242="FLAT20","20%",Augmented_Data!$P242="DEL0","0 delivery charge")</f>
        <v>10%</v>
      </c>
      <c r="R242" s="14">
        <v>6</v>
      </c>
      <c r="S242" s="14" t="str">
        <f>_xlfn.IFS(Augmented_Data!U242-Augmented_Data!K242=Augmented_Data!$R242,"Intime",Augmented_Data!U242-Augmented_Data!K242&lt;Augmented_Data!R242,"Before Time",Augmented_Data!U242-Augmented_Data!K242&gt;Augmented_Data!R242,"Late")</f>
        <v>Before Time</v>
      </c>
      <c r="T242" s="14">
        <v>59</v>
      </c>
      <c r="U242" s="15">
        <v>45275</v>
      </c>
      <c r="V242" s="14">
        <f>DATEDIF(Augmented_Data!$K242,Augmented_Data!$U242,"D")</f>
        <v>4</v>
      </c>
      <c r="W242" s="14" t="s">
        <v>1790</v>
      </c>
      <c r="X242" s="14">
        <f>Augmented_Data!$Z242-Augmented_Data!$AA242</f>
        <v>55.783999999999992</v>
      </c>
      <c r="Y242" s="14">
        <f>Augmented_Data!$N242*Augmented_Data!$O242</f>
        <v>498.84000000000003</v>
      </c>
      <c r="Z242" s="14">
        <f>Augmented_Data!$Y242+Augmented_Data!$T242</f>
        <v>557.84</v>
      </c>
      <c r="AA242" s="16">
        <f>IF(Augmented_Data!Q242="0 delivery charge",Augmented_Data!Z242-Augmented_Data!T242,Augmented_Data!Z242*(1-Augmented_Data!Q242))</f>
        <v>502.05600000000004</v>
      </c>
    </row>
    <row r="243" spans="1:27" x14ac:dyDescent="0.3">
      <c r="A243" s="11" t="s">
        <v>75</v>
      </c>
      <c r="B243" s="11" t="str">
        <f>_xlfn.CONCAT(Augmented_Data!$C243," ",Augmented_Data!$D243)</f>
        <v>Lindsey Byrd</v>
      </c>
      <c r="C243" s="11" t="s">
        <v>168</v>
      </c>
      <c r="D243" s="11" t="s">
        <v>253</v>
      </c>
      <c r="E243" s="11">
        <v>32</v>
      </c>
      <c r="F243" s="11" t="s">
        <v>288</v>
      </c>
      <c r="G243" s="11" t="s">
        <v>293</v>
      </c>
      <c r="H243" s="11" t="s">
        <v>356</v>
      </c>
      <c r="I243" s="11" t="s">
        <v>456</v>
      </c>
      <c r="J243" s="11" t="s">
        <v>715</v>
      </c>
      <c r="K243" s="12">
        <v>45117</v>
      </c>
      <c r="L243" s="11" t="s">
        <v>1215</v>
      </c>
      <c r="M243" s="11" t="s">
        <v>1534</v>
      </c>
      <c r="N243" s="11">
        <v>425.59</v>
      </c>
      <c r="O243" s="11">
        <v>5</v>
      </c>
      <c r="P243" s="11" t="s">
        <v>2047</v>
      </c>
      <c r="Q243" s="11" t="str">
        <f>_xlfn.IFS(Augmented_Data!$P243="FLAT8","8%",Augmented_Data!$P243="FLAT10","10%",Augmented_Data!$P243="FLAT15","15%",Augmented_Data!$P243="FLAT20","20%",Augmented_Data!$P243="DEL0","0 delivery charge")</f>
        <v>8%</v>
      </c>
      <c r="R243" s="11">
        <v>7</v>
      </c>
      <c r="S243" s="11" t="str">
        <f>_xlfn.IFS(Augmented_Data!U243-Augmented_Data!K243=Augmented_Data!$R243,"Intime",Augmented_Data!U243-Augmented_Data!K243&lt;Augmented_Data!R243,"Before Time",Augmented_Data!U243-Augmented_Data!K243&gt;Augmented_Data!R243,"Late")</f>
        <v>Intime</v>
      </c>
      <c r="T243" s="11">
        <v>57</v>
      </c>
      <c r="U243" s="12">
        <v>45124</v>
      </c>
      <c r="V243" s="11">
        <f>DATEDIF(Augmented_Data!$K243,Augmented_Data!$U243,"D")</f>
        <v>7</v>
      </c>
      <c r="W243" s="11" t="s">
        <v>1766</v>
      </c>
      <c r="X243" s="11">
        <f>Augmented_Data!$Z243-Augmented_Data!$AA243</f>
        <v>174.79599999999982</v>
      </c>
      <c r="Y243" s="11">
        <f>Augmented_Data!$N243*Augmented_Data!$O243</f>
        <v>2127.9499999999998</v>
      </c>
      <c r="Z243" s="11">
        <f>Augmented_Data!$Y243+Augmented_Data!$T243</f>
        <v>2184.9499999999998</v>
      </c>
      <c r="AA243" s="13">
        <f>IF(Augmented_Data!Q243="0 delivery charge",Augmented_Data!Z243-Augmented_Data!T243,Augmented_Data!Z243*(1-Augmented_Data!Q243))</f>
        <v>2010.154</v>
      </c>
    </row>
    <row r="244" spans="1:27" x14ac:dyDescent="0.3">
      <c r="A244" s="14" t="s">
        <v>67</v>
      </c>
      <c r="B244" s="14" t="str">
        <f>_xlfn.CONCAT(Augmented_Data!$C244," ",Augmented_Data!$D244)</f>
        <v>Brittany Stewart</v>
      </c>
      <c r="C244" s="14" t="s">
        <v>161</v>
      </c>
      <c r="D244" s="14" t="s">
        <v>211</v>
      </c>
      <c r="E244" s="14">
        <v>68</v>
      </c>
      <c r="F244" s="14" t="s">
        <v>290</v>
      </c>
      <c r="G244" s="14" t="s">
        <v>298</v>
      </c>
      <c r="H244" s="14" t="s">
        <v>348</v>
      </c>
      <c r="I244" s="14" t="s">
        <v>448</v>
      </c>
      <c r="J244" s="14" t="s">
        <v>741</v>
      </c>
      <c r="K244" s="15">
        <v>45417</v>
      </c>
      <c r="L244" s="14" t="s">
        <v>1241</v>
      </c>
      <c r="M244" s="14" t="s">
        <v>1503</v>
      </c>
      <c r="N244" s="14">
        <v>363.64</v>
      </c>
      <c r="O244" s="14">
        <v>5</v>
      </c>
      <c r="P244" s="14" t="s">
        <v>1549</v>
      </c>
      <c r="Q244" s="14" t="str">
        <f>_xlfn.IFS(Augmented_Data!$P244="FLAT8","8%",Augmented_Data!$P244="FLAT10","10%",Augmented_Data!$P244="FLAT15","15%",Augmented_Data!$P244="FLAT20","20%",Augmented_Data!$P244="DEL0","0 delivery charge")</f>
        <v>10%</v>
      </c>
      <c r="R244" s="14">
        <v>7</v>
      </c>
      <c r="S244" s="14" t="str">
        <f>_xlfn.IFS(Augmented_Data!U244-Augmented_Data!K244=Augmented_Data!$R244,"Intime",Augmented_Data!U244-Augmented_Data!K244&lt;Augmented_Data!R244,"Before Time",Augmented_Data!U244-Augmented_Data!K244&gt;Augmented_Data!R244,"Late")</f>
        <v>Before Time</v>
      </c>
      <c r="T244" s="14">
        <v>60</v>
      </c>
      <c r="U244" s="15">
        <v>45419</v>
      </c>
      <c r="V244" s="14">
        <f>DATEDIF(Augmented_Data!$K244,Augmented_Data!$U244,"D")</f>
        <v>2</v>
      </c>
      <c r="W244" s="14" t="s">
        <v>1792</v>
      </c>
      <c r="X244" s="14">
        <f>Augmented_Data!$Z244-Augmented_Data!$AA244</f>
        <v>187.81999999999994</v>
      </c>
      <c r="Y244" s="14">
        <f>Augmented_Data!$N244*Augmented_Data!$O244</f>
        <v>1818.1999999999998</v>
      </c>
      <c r="Z244" s="14">
        <f>Augmented_Data!$Y244+Augmented_Data!$T244</f>
        <v>1878.1999999999998</v>
      </c>
      <c r="AA244" s="16">
        <f>IF(Augmented_Data!Q244="0 delivery charge",Augmented_Data!Z244-Augmented_Data!T244,Augmented_Data!Z244*(1-Augmented_Data!Q244))</f>
        <v>1690.3799999999999</v>
      </c>
    </row>
    <row r="245" spans="1:27" x14ac:dyDescent="0.3">
      <c r="A245" s="11" t="s">
        <v>110</v>
      </c>
      <c r="B245" s="11" t="str">
        <f>_xlfn.CONCAT(Augmented_Data!$C245," ",Augmented_Data!$D245)</f>
        <v>Brendan Kelly</v>
      </c>
      <c r="C245" s="11" t="s">
        <v>195</v>
      </c>
      <c r="D245" s="11" t="s">
        <v>200</v>
      </c>
      <c r="E245" s="11">
        <v>50</v>
      </c>
      <c r="F245" s="11" t="s">
        <v>290</v>
      </c>
      <c r="G245" s="11" t="s">
        <v>297</v>
      </c>
      <c r="H245" s="11" t="s">
        <v>391</v>
      </c>
      <c r="I245" s="11" t="s">
        <v>491</v>
      </c>
      <c r="J245" s="11" t="s">
        <v>772</v>
      </c>
      <c r="K245" s="12">
        <v>45470</v>
      </c>
      <c r="L245" s="11" t="s">
        <v>1272</v>
      </c>
      <c r="M245" s="11" t="s">
        <v>1536</v>
      </c>
      <c r="N245" s="11">
        <v>403.03</v>
      </c>
      <c r="O245" s="11">
        <v>5</v>
      </c>
      <c r="P245" s="11" t="s">
        <v>1550</v>
      </c>
      <c r="Q245" s="11" t="str">
        <f>_xlfn.IFS(Augmented_Data!$P245="FLAT8","8%",Augmented_Data!$P245="FLAT10","10%",Augmented_Data!$P245="FLAT15","15%",Augmented_Data!$P245="FLAT20","20%",Augmented_Data!$P245="DEL0","0 delivery charge")</f>
        <v>20%</v>
      </c>
      <c r="R245" s="11">
        <v>2</v>
      </c>
      <c r="S245" s="11" t="str">
        <f>_xlfn.IFS(Augmented_Data!U245-Augmented_Data!K245=Augmented_Data!$R245,"Intime",Augmented_Data!U245-Augmented_Data!K245&lt;Augmented_Data!R245,"Before Time",Augmented_Data!U245-Augmented_Data!K245&gt;Augmented_Data!R245,"Late")</f>
        <v>Late</v>
      </c>
      <c r="T245" s="11">
        <v>52</v>
      </c>
      <c r="U245" s="12">
        <v>45475</v>
      </c>
      <c r="V245" s="11">
        <f>DATEDIF(Augmented_Data!$K245,Augmented_Data!$U245,"D")</f>
        <v>5</v>
      </c>
      <c r="W245" s="11" t="s">
        <v>1823</v>
      </c>
      <c r="X245" s="11">
        <f>Augmented_Data!$Z245-Augmented_Data!$AA245</f>
        <v>413.42999999999984</v>
      </c>
      <c r="Y245" s="11">
        <f>Augmented_Data!$N245*Augmented_Data!$O245</f>
        <v>2015.1499999999999</v>
      </c>
      <c r="Z245" s="11">
        <f>Augmented_Data!$Y245+Augmented_Data!$T245</f>
        <v>2067.1499999999996</v>
      </c>
      <c r="AA245" s="13">
        <f>IF(Augmented_Data!Q245="0 delivery charge",Augmented_Data!Z245-Augmented_Data!T245,Augmented_Data!Z245*(1-Augmented_Data!Q245))</f>
        <v>1653.7199999999998</v>
      </c>
    </row>
    <row r="246" spans="1:27" x14ac:dyDescent="0.3">
      <c r="A246" s="14" t="s">
        <v>71</v>
      </c>
      <c r="B246" s="14" t="str">
        <f>_xlfn.CONCAT(Augmented_Data!$C246," ",Augmented_Data!$D246)</f>
        <v>Katherine Weber</v>
      </c>
      <c r="C246" s="14" t="s">
        <v>165</v>
      </c>
      <c r="D246" s="14" t="s">
        <v>249</v>
      </c>
      <c r="E246" s="14">
        <v>42</v>
      </c>
      <c r="F246" s="14" t="s">
        <v>290</v>
      </c>
      <c r="G246" s="14" t="s">
        <v>295</v>
      </c>
      <c r="H246" s="14" t="s">
        <v>352</v>
      </c>
      <c r="I246" s="14" t="s">
        <v>452</v>
      </c>
      <c r="J246" s="14" t="s">
        <v>743</v>
      </c>
      <c r="K246" s="15">
        <v>44968</v>
      </c>
      <c r="L246" s="14" t="s">
        <v>1243</v>
      </c>
      <c r="M246" s="14" t="s">
        <v>1530</v>
      </c>
      <c r="N246" s="14">
        <v>369.03</v>
      </c>
      <c r="O246" s="14">
        <v>1</v>
      </c>
      <c r="P246" s="14" t="s">
        <v>1550</v>
      </c>
      <c r="Q246" s="14" t="str">
        <f>_xlfn.IFS(Augmented_Data!$P246="FLAT8","8%",Augmented_Data!$P246="FLAT10","10%",Augmented_Data!$P246="FLAT15","15%",Augmented_Data!$P246="FLAT20","20%",Augmented_Data!$P246="DEL0","0 delivery charge")</f>
        <v>20%</v>
      </c>
      <c r="R246" s="14">
        <v>6</v>
      </c>
      <c r="S246" s="14" t="str">
        <f>_xlfn.IFS(Augmented_Data!U246-Augmented_Data!K246=Augmented_Data!$R246,"Intime",Augmented_Data!U246-Augmented_Data!K246&lt;Augmented_Data!R246,"Before Time",Augmented_Data!U246-Augmented_Data!K246&gt;Augmented_Data!R246,"Late")</f>
        <v>Intime</v>
      </c>
      <c r="T246" s="14">
        <v>38</v>
      </c>
      <c r="U246" s="15">
        <v>44974</v>
      </c>
      <c r="V246" s="14">
        <f>DATEDIF(Augmented_Data!$K246,Augmented_Data!$U246,"D")</f>
        <v>6</v>
      </c>
      <c r="W246" s="14" t="s">
        <v>1794</v>
      </c>
      <c r="X246" s="14">
        <f>Augmented_Data!$Z246-Augmented_Data!$AA246</f>
        <v>81.405999999999949</v>
      </c>
      <c r="Y246" s="14">
        <f>Augmented_Data!$N246*Augmented_Data!$O246</f>
        <v>369.03</v>
      </c>
      <c r="Z246" s="14">
        <f>Augmented_Data!$Y246+Augmented_Data!$T246</f>
        <v>407.03</v>
      </c>
      <c r="AA246" s="16">
        <f>IF(Augmented_Data!Q246="0 delivery charge",Augmented_Data!Z246-Augmented_Data!T246,Augmented_Data!Z246*(1-Augmented_Data!Q246))</f>
        <v>325.62400000000002</v>
      </c>
    </row>
    <row r="247" spans="1:27" x14ac:dyDescent="0.3">
      <c r="A247" s="11" t="s">
        <v>43</v>
      </c>
      <c r="B247" s="11" t="str">
        <f>_xlfn.CONCAT(Augmented_Data!$C247," ",Augmented_Data!$D247)</f>
        <v>Jessica Ruiz</v>
      </c>
      <c r="C247" s="11" t="s">
        <v>141</v>
      </c>
      <c r="D247" s="11" t="s">
        <v>224</v>
      </c>
      <c r="E247" s="11">
        <v>19</v>
      </c>
      <c r="F247" s="11" t="s">
        <v>289</v>
      </c>
      <c r="G247" s="11" t="s">
        <v>295</v>
      </c>
      <c r="H247" s="11" t="s">
        <v>324</v>
      </c>
      <c r="I247" s="11" t="s">
        <v>424</v>
      </c>
      <c r="J247" s="11" t="s">
        <v>526</v>
      </c>
      <c r="K247" s="12">
        <v>45453</v>
      </c>
      <c r="L247" s="11" t="s">
        <v>1026</v>
      </c>
      <c r="M247" s="11" t="s">
        <v>1519</v>
      </c>
      <c r="N247" s="11">
        <v>421.7</v>
      </c>
      <c r="O247" s="11">
        <v>5</v>
      </c>
      <c r="P247" s="11" t="s">
        <v>1549</v>
      </c>
      <c r="Q247" s="11" t="str">
        <f>_xlfn.IFS(Augmented_Data!$P247="FLAT8","8%",Augmented_Data!$P247="FLAT10","10%",Augmented_Data!$P247="FLAT15","15%",Augmented_Data!$P247="FLAT20","20%",Augmented_Data!$P247="DEL0","0 delivery charge")</f>
        <v>10%</v>
      </c>
      <c r="R247" s="11">
        <v>6</v>
      </c>
      <c r="S247" s="11" t="str">
        <f>_xlfn.IFS(Augmented_Data!U247-Augmented_Data!K247=Augmented_Data!$R247,"Intime",Augmented_Data!U247-Augmented_Data!K247&lt;Augmented_Data!R247,"Before Time",Augmented_Data!U247-Augmented_Data!K247&gt;Augmented_Data!R247,"Late")</f>
        <v>Before Time</v>
      </c>
      <c r="T247" s="11">
        <v>61</v>
      </c>
      <c r="U247" s="12">
        <v>45457</v>
      </c>
      <c r="V247" s="11">
        <f>DATEDIF(Augmented_Data!$K247,Augmented_Data!$U247,"D")</f>
        <v>4</v>
      </c>
      <c r="W247" s="11" t="s">
        <v>1578</v>
      </c>
      <c r="X247" s="11">
        <f>Augmented_Data!$Z247-Augmented_Data!$AA247</f>
        <v>216.95000000000005</v>
      </c>
      <c r="Y247" s="11">
        <f>Augmented_Data!$N247*Augmented_Data!$O247</f>
        <v>2108.5</v>
      </c>
      <c r="Z247" s="11">
        <f>Augmented_Data!$Y247+Augmented_Data!$T247</f>
        <v>2169.5</v>
      </c>
      <c r="AA247" s="13">
        <f>IF(Augmented_Data!Q247="0 delivery charge",Augmented_Data!Z247-Augmented_Data!T247,Augmented_Data!Z247*(1-Augmented_Data!Q247))</f>
        <v>1952.55</v>
      </c>
    </row>
    <row r="248" spans="1:27" x14ac:dyDescent="0.3">
      <c r="A248" s="14" t="s">
        <v>90</v>
      </c>
      <c r="B248" s="14" t="str">
        <f>_xlfn.CONCAT(Augmented_Data!$C248," ",Augmented_Data!$D248)</f>
        <v>Mark Summers</v>
      </c>
      <c r="C248" s="14" t="s">
        <v>139</v>
      </c>
      <c r="D248" s="14" t="s">
        <v>266</v>
      </c>
      <c r="E248" s="14">
        <v>55</v>
      </c>
      <c r="F248" s="14" t="s">
        <v>289</v>
      </c>
      <c r="G248" s="14" t="s">
        <v>293</v>
      </c>
      <c r="H248" s="14" t="s">
        <v>371</v>
      </c>
      <c r="I248" s="14" t="s">
        <v>471</v>
      </c>
      <c r="J248" s="14" t="s">
        <v>759</v>
      </c>
      <c r="K248" s="15">
        <v>45608</v>
      </c>
      <c r="L248" s="14" t="s">
        <v>1259</v>
      </c>
      <c r="M248" s="14" t="s">
        <v>1543</v>
      </c>
      <c r="N248" s="14">
        <v>381.73</v>
      </c>
      <c r="O248" s="14">
        <v>4</v>
      </c>
      <c r="P248" s="14" t="s">
        <v>2047</v>
      </c>
      <c r="Q248" s="14" t="str">
        <f>_xlfn.IFS(Augmented_Data!$P248="FLAT8","8%",Augmented_Data!$P248="FLAT10","10%",Augmented_Data!$P248="FLAT15","15%",Augmented_Data!$P248="FLAT20","20%",Augmented_Data!$P248="DEL0","0 delivery charge")</f>
        <v>8%</v>
      </c>
      <c r="R248" s="14">
        <v>2</v>
      </c>
      <c r="S248" s="14" t="str">
        <f>_xlfn.IFS(Augmented_Data!U248-Augmented_Data!K248=Augmented_Data!$R248,"Intime",Augmented_Data!U248-Augmented_Data!K248&lt;Augmented_Data!R248,"Before Time",Augmented_Data!U248-Augmented_Data!K248&gt;Augmented_Data!R248,"Late")</f>
        <v>Late</v>
      </c>
      <c r="T248" s="14">
        <v>58</v>
      </c>
      <c r="U248" s="15">
        <v>45613</v>
      </c>
      <c r="V248" s="14">
        <f>DATEDIF(Augmented_Data!$K248,Augmented_Data!$U248,"D")</f>
        <v>5</v>
      </c>
      <c r="W248" s="14" t="s">
        <v>1810</v>
      </c>
      <c r="X248" s="14">
        <f>Augmented_Data!$Z248-Augmented_Data!$AA248</f>
        <v>126.79359999999997</v>
      </c>
      <c r="Y248" s="14">
        <f>Augmented_Data!$N248*Augmented_Data!$O248</f>
        <v>1526.92</v>
      </c>
      <c r="Z248" s="14">
        <f>Augmented_Data!$Y248+Augmented_Data!$T248</f>
        <v>1584.92</v>
      </c>
      <c r="AA248" s="16">
        <f>IF(Augmented_Data!Q248="0 delivery charge",Augmented_Data!Z248-Augmented_Data!T248,Augmented_Data!Z248*(1-Augmented_Data!Q248))</f>
        <v>1458.1264000000001</v>
      </c>
    </row>
    <row r="249" spans="1:27" x14ac:dyDescent="0.3">
      <c r="A249" s="11" t="s">
        <v>88</v>
      </c>
      <c r="B249" s="11" t="str">
        <f>_xlfn.CONCAT(Augmented_Data!$C249," ",Augmented_Data!$D249)</f>
        <v>Lisa Miller</v>
      </c>
      <c r="C249" s="11" t="s">
        <v>178</v>
      </c>
      <c r="D249" s="11" t="s">
        <v>215</v>
      </c>
      <c r="E249" s="11">
        <v>70</v>
      </c>
      <c r="F249" s="11" t="s">
        <v>289</v>
      </c>
      <c r="G249" s="11" t="s">
        <v>296</v>
      </c>
      <c r="H249" s="11" t="s">
        <v>369</v>
      </c>
      <c r="I249" s="11" t="s">
        <v>469</v>
      </c>
      <c r="J249" s="11" t="s">
        <v>746</v>
      </c>
      <c r="K249" s="12">
        <v>45386</v>
      </c>
      <c r="L249" s="11" t="s">
        <v>1246</v>
      </c>
      <c r="M249" s="11" t="s">
        <v>1508</v>
      </c>
      <c r="N249" s="11">
        <v>175.93</v>
      </c>
      <c r="O249" s="11">
        <v>2</v>
      </c>
      <c r="P249" s="11" t="s">
        <v>1549</v>
      </c>
      <c r="Q249" s="11" t="str">
        <f>_xlfn.IFS(Augmented_Data!$P249="FLAT8","8%",Augmented_Data!$P249="FLAT10","10%",Augmented_Data!$P249="FLAT15","15%",Augmented_Data!$P249="FLAT20","20%",Augmented_Data!$P249="DEL0","0 delivery charge")</f>
        <v>10%</v>
      </c>
      <c r="R249" s="11">
        <v>7</v>
      </c>
      <c r="S249" s="11" t="str">
        <f>_xlfn.IFS(Augmented_Data!U249-Augmented_Data!K249=Augmented_Data!$R249,"Intime",Augmented_Data!U249-Augmented_Data!K249&lt;Augmented_Data!R249,"Before Time",Augmented_Data!U249-Augmented_Data!K249&gt;Augmented_Data!R249,"Late")</f>
        <v>Before Time</v>
      </c>
      <c r="T249" s="11">
        <v>61</v>
      </c>
      <c r="U249" s="12">
        <v>45391</v>
      </c>
      <c r="V249" s="11">
        <f>DATEDIF(Augmented_Data!$K249,Augmented_Data!$U249,"D")</f>
        <v>5</v>
      </c>
      <c r="W249" s="11" t="s">
        <v>1797</v>
      </c>
      <c r="X249" s="11">
        <f>Augmented_Data!$Z249-Augmented_Data!$AA249</f>
        <v>41.286000000000001</v>
      </c>
      <c r="Y249" s="11">
        <f>Augmented_Data!$N249*Augmented_Data!$O249</f>
        <v>351.86</v>
      </c>
      <c r="Z249" s="11">
        <f>Augmented_Data!$Y249+Augmented_Data!$T249</f>
        <v>412.86</v>
      </c>
      <c r="AA249" s="13">
        <f>IF(Augmented_Data!Q249="0 delivery charge",Augmented_Data!Z249-Augmented_Data!T249,Augmented_Data!Z249*(1-Augmented_Data!Q249))</f>
        <v>371.57400000000001</v>
      </c>
    </row>
    <row r="250" spans="1:27" x14ac:dyDescent="0.3">
      <c r="A250" s="14" t="s">
        <v>21</v>
      </c>
      <c r="B250" s="14" t="str">
        <f>_xlfn.CONCAT(Augmented_Data!$C250," ",Augmented_Data!$D250)</f>
        <v>John Ramirez</v>
      </c>
      <c r="C250" s="14" t="s">
        <v>121</v>
      </c>
      <c r="D250" s="14" t="s">
        <v>203</v>
      </c>
      <c r="E250" s="14">
        <v>28</v>
      </c>
      <c r="F250" s="14" t="s">
        <v>290</v>
      </c>
      <c r="G250" s="14" t="s">
        <v>294</v>
      </c>
      <c r="H250" s="14" t="s">
        <v>302</v>
      </c>
      <c r="I250" s="14" t="s">
        <v>402</v>
      </c>
      <c r="J250" s="14" t="s">
        <v>933</v>
      </c>
      <c r="K250" s="15">
        <v>45322</v>
      </c>
      <c r="L250" s="14" t="s">
        <v>1432</v>
      </c>
      <c r="M250" s="14" t="s">
        <v>1543</v>
      </c>
      <c r="N250" s="14">
        <v>381.73</v>
      </c>
      <c r="O250" s="14">
        <v>2</v>
      </c>
      <c r="P250" s="14" t="s">
        <v>1548</v>
      </c>
      <c r="Q250" s="14" t="str">
        <f>_xlfn.IFS(Augmented_Data!$P250="FLAT8","8%",Augmented_Data!$P250="FLAT10","10%",Augmented_Data!$P250="FLAT15","15%",Augmented_Data!$P250="FLAT20","20%",Augmented_Data!$P250="DEL0","0 delivery charge")</f>
        <v>15%</v>
      </c>
      <c r="R250" s="14">
        <v>2</v>
      </c>
      <c r="S250" s="14" t="str">
        <f>_xlfn.IFS(Augmented_Data!U250-Augmented_Data!K250=Augmented_Data!$R250,"Intime",Augmented_Data!U250-Augmented_Data!K250&lt;Augmented_Data!R250,"Before Time",Augmented_Data!U250-Augmented_Data!K250&gt;Augmented_Data!R250,"Late")</f>
        <v>Late</v>
      </c>
      <c r="T250" s="14">
        <v>68</v>
      </c>
      <c r="U250" s="15">
        <v>45329</v>
      </c>
      <c r="V250" s="14">
        <f>DATEDIF(Augmented_Data!$K250,Augmented_Data!$U250,"D")</f>
        <v>7</v>
      </c>
      <c r="W250" s="14" t="s">
        <v>1981</v>
      </c>
      <c r="X250" s="14">
        <f>Augmented_Data!$Z250-Augmented_Data!$AA250</f>
        <v>124.71900000000005</v>
      </c>
      <c r="Y250" s="14">
        <f>Augmented_Data!$N250*Augmented_Data!$O250</f>
        <v>763.46</v>
      </c>
      <c r="Z250" s="14">
        <f>Augmented_Data!$Y250+Augmented_Data!$T250</f>
        <v>831.46</v>
      </c>
      <c r="AA250" s="16">
        <f>IF(Augmented_Data!Q250="0 delivery charge",Augmented_Data!Z250-Augmented_Data!T250,Augmented_Data!Z250*(1-Augmented_Data!Q250))</f>
        <v>706.74099999999999</v>
      </c>
    </row>
    <row r="251" spans="1:27" x14ac:dyDescent="0.3">
      <c r="A251" s="11" t="s">
        <v>20</v>
      </c>
      <c r="B251" s="11" t="str">
        <f>_xlfn.CONCAT(Augmented_Data!$C251," ",Augmented_Data!$D251)</f>
        <v>Hannah Gutierrez</v>
      </c>
      <c r="C251" s="11" t="s">
        <v>120</v>
      </c>
      <c r="D251" s="11" t="s">
        <v>202</v>
      </c>
      <c r="E251" s="11">
        <v>55</v>
      </c>
      <c r="F251" s="11" t="s">
        <v>289</v>
      </c>
      <c r="G251" s="11" t="s">
        <v>293</v>
      </c>
      <c r="H251" s="11" t="s">
        <v>301</v>
      </c>
      <c r="I251" s="11" t="s">
        <v>401</v>
      </c>
      <c r="J251" s="11" t="s">
        <v>501</v>
      </c>
      <c r="K251" s="12">
        <v>45470</v>
      </c>
      <c r="L251" s="11" t="s">
        <v>1001</v>
      </c>
      <c r="M251" s="11" t="s">
        <v>1499</v>
      </c>
      <c r="N251" s="11">
        <v>441.03</v>
      </c>
      <c r="O251" s="11">
        <v>3</v>
      </c>
      <c r="P251" s="11" t="s">
        <v>1547</v>
      </c>
      <c r="Q251" s="11" t="str">
        <f>_xlfn.IFS(Augmented_Data!$P251="FLAT8","8%",Augmented_Data!$P251="FLAT10","10%",Augmented_Data!$P251="FLAT15","15%",Augmented_Data!$P251="FLAT20","20%",Augmented_Data!$P251="DEL0","0 delivery charge")</f>
        <v>0 delivery charge</v>
      </c>
      <c r="R251" s="11">
        <v>4</v>
      </c>
      <c r="S251" s="11" t="str">
        <f>_xlfn.IFS(Augmented_Data!U251-Augmented_Data!K251=Augmented_Data!$R251,"Intime",Augmented_Data!U251-Augmented_Data!K251&lt;Augmented_Data!R251,"Before Time",Augmented_Data!U251-Augmented_Data!K251&gt;Augmented_Data!R251,"Late")</f>
        <v>Before Time</v>
      </c>
      <c r="T251" s="11">
        <v>47</v>
      </c>
      <c r="U251" s="12">
        <v>45473</v>
      </c>
      <c r="V251" s="11">
        <f>DATEDIF(Augmented_Data!$K251,Augmented_Data!$U251,"D")</f>
        <v>3</v>
      </c>
      <c r="W251" s="11" t="s">
        <v>1553</v>
      </c>
      <c r="X251" s="11">
        <f>Augmented_Data!$Z251-Augmented_Data!$AA251</f>
        <v>47</v>
      </c>
      <c r="Y251" s="11">
        <f>Augmented_Data!$N251*Augmented_Data!$O251</f>
        <v>1323.09</v>
      </c>
      <c r="Z251" s="11">
        <f>Augmented_Data!$Y251+Augmented_Data!$T251</f>
        <v>1370.09</v>
      </c>
      <c r="AA251" s="13">
        <f>IF(Augmented_Data!Q251="0 delivery charge",Augmented_Data!Z251-Augmented_Data!T251,Augmented_Data!Z251*(1-Augmented_Data!Q251))</f>
        <v>1323.09</v>
      </c>
    </row>
    <row r="252" spans="1:27" x14ac:dyDescent="0.3">
      <c r="A252" s="14" t="s">
        <v>107</v>
      </c>
      <c r="B252" s="14" t="str">
        <f>_xlfn.CONCAT(Augmented_Data!$C252," ",Augmented_Data!$D252)</f>
        <v>Angela Casey</v>
      </c>
      <c r="C252" s="14" t="s">
        <v>122</v>
      </c>
      <c r="D252" s="14" t="s">
        <v>281</v>
      </c>
      <c r="E252" s="14">
        <v>40</v>
      </c>
      <c r="F252" s="14" t="s">
        <v>288</v>
      </c>
      <c r="G252" s="14" t="s">
        <v>295</v>
      </c>
      <c r="H252" s="14" t="s">
        <v>388</v>
      </c>
      <c r="I252" s="14" t="s">
        <v>488</v>
      </c>
      <c r="J252" s="14" t="s">
        <v>749</v>
      </c>
      <c r="K252" s="15">
        <v>45531</v>
      </c>
      <c r="L252" s="14" t="s">
        <v>1249</v>
      </c>
      <c r="M252" s="14" t="s">
        <v>1533</v>
      </c>
      <c r="N252" s="14">
        <v>136.30000000000001</v>
      </c>
      <c r="O252" s="14">
        <v>2</v>
      </c>
      <c r="P252" s="14" t="s">
        <v>2047</v>
      </c>
      <c r="Q252" s="14" t="str">
        <f>_xlfn.IFS(Augmented_Data!$P252="FLAT8","8%",Augmented_Data!$P252="FLAT10","10%",Augmented_Data!$P252="FLAT15","15%",Augmented_Data!$P252="FLAT20","20%",Augmented_Data!$P252="DEL0","0 delivery charge")</f>
        <v>8%</v>
      </c>
      <c r="R252" s="14">
        <v>6</v>
      </c>
      <c r="S252" s="14" t="str">
        <f>_xlfn.IFS(Augmented_Data!U252-Augmented_Data!K252=Augmented_Data!$R252,"Intime",Augmented_Data!U252-Augmented_Data!K252&lt;Augmented_Data!R252,"Before Time",Augmented_Data!U252-Augmented_Data!K252&gt;Augmented_Data!R252,"Late")</f>
        <v>Before Time</v>
      </c>
      <c r="T252" s="14">
        <v>58</v>
      </c>
      <c r="U252" s="15">
        <v>45533</v>
      </c>
      <c r="V252" s="14">
        <f>DATEDIF(Augmented_Data!$K252,Augmented_Data!$U252,"D")</f>
        <v>2</v>
      </c>
      <c r="W252" s="14" t="s">
        <v>1800</v>
      </c>
      <c r="X252" s="14">
        <f>Augmented_Data!$Z252-Augmented_Data!$AA252</f>
        <v>26.447999999999979</v>
      </c>
      <c r="Y252" s="14">
        <f>Augmented_Data!$N252*Augmented_Data!$O252</f>
        <v>272.60000000000002</v>
      </c>
      <c r="Z252" s="14">
        <f>Augmented_Data!$Y252+Augmented_Data!$T252</f>
        <v>330.6</v>
      </c>
      <c r="AA252" s="16">
        <f>IF(Augmented_Data!Q252="0 delivery charge",Augmented_Data!Z252-Augmented_Data!T252,Augmented_Data!Z252*(1-Augmented_Data!Q252))</f>
        <v>304.15200000000004</v>
      </c>
    </row>
    <row r="253" spans="1:27" x14ac:dyDescent="0.3">
      <c r="A253" s="11" t="s">
        <v>74</v>
      </c>
      <c r="B253" s="11" t="str">
        <f>_xlfn.CONCAT(Augmented_Data!$C253," ",Augmented_Data!$D253)</f>
        <v>Jodi Whitney</v>
      </c>
      <c r="C253" s="11" t="s">
        <v>167</v>
      </c>
      <c r="D253" s="11" t="s">
        <v>252</v>
      </c>
      <c r="E253" s="11">
        <v>33</v>
      </c>
      <c r="F253" s="11" t="s">
        <v>290</v>
      </c>
      <c r="G253" s="11" t="s">
        <v>297</v>
      </c>
      <c r="H253" s="11" t="s">
        <v>355</v>
      </c>
      <c r="I253" s="11" t="s">
        <v>455</v>
      </c>
      <c r="J253" s="11" t="s">
        <v>750</v>
      </c>
      <c r="K253" s="12">
        <v>45383</v>
      </c>
      <c r="L253" s="11" t="s">
        <v>1250</v>
      </c>
      <c r="M253" s="11" t="s">
        <v>1536</v>
      </c>
      <c r="N253" s="11">
        <v>403.03</v>
      </c>
      <c r="O253" s="11">
        <v>3</v>
      </c>
      <c r="P253" s="11" t="s">
        <v>1548</v>
      </c>
      <c r="Q253" s="11" t="str">
        <f>_xlfn.IFS(Augmented_Data!$P253="FLAT8","8%",Augmented_Data!$P253="FLAT10","10%",Augmented_Data!$P253="FLAT15","15%",Augmented_Data!$P253="FLAT20","20%",Augmented_Data!$P253="DEL0","0 delivery charge")</f>
        <v>15%</v>
      </c>
      <c r="R253" s="11">
        <v>5</v>
      </c>
      <c r="S253" s="11" t="str">
        <f>_xlfn.IFS(Augmented_Data!U253-Augmented_Data!K253=Augmented_Data!$R253,"Intime",Augmented_Data!U253-Augmented_Data!K253&lt;Augmented_Data!R253,"Before Time",Augmented_Data!U253-Augmented_Data!K253&gt;Augmented_Data!R253,"Late")</f>
        <v>Before Time</v>
      </c>
      <c r="T253" s="11">
        <v>44</v>
      </c>
      <c r="U253" s="12">
        <v>45384</v>
      </c>
      <c r="V253" s="11">
        <f>DATEDIF(Augmented_Data!$K253,Augmented_Data!$U253,"D")</f>
        <v>1</v>
      </c>
      <c r="W253" s="11" t="s">
        <v>1801</v>
      </c>
      <c r="X253" s="11">
        <f>Augmented_Data!$Z253-Augmented_Data!$AA253</f>
        <v>187.96350000000007</v>
      </c>
      <c r="Y253" s="11">
        <f>Augmented_Data!$N253*Augmented_Data!$O253</f>
        <v>1209.0899999999999</v>
      </c>
      <c r="Z253" s="11">
        <f>Augmented_Data!$Y253+Augmented_Data!$T253</f>
        <v>1253.0899999999999</v>
      </c>
      <c r="AA253" s="13">
        <f>IF(Augmented_Data!Q253="0 delivery charge",Augmented_Data!Z253-Augmented_Data!T253,Augmented_Data!Z253*(1-Augmented_Data!Q253))</f>
        <v>1065.1264999999999</v>
      </c>
    </row>
    <row r="254" spans="1:27" x14ac:dyDescent="0.3">
      <c r="A254" s="14" t="s">
        <v>102</v>
      </c>
      <c r="B254" s="14" t="str">
        <f>_xlfn.CONCAT(Augmented_Data!$C254," ",Augmented_Data!$D254)</f>
        <v>Natasha Michael</v>
      </c>
      <c r="C254" s="14" t="s">
        <v>190</v>
      </c>
      <c r="D254" s="14" t="s">
        <v>276</v>
      </c>
      <c r="E254" s="14">
        <v>49</v>
      </c>
      <c r="F254" s="14" t="s">
        <v>288</v>
      </c>
      <c r="G254" s="14" t="s">
        <v>292</v>
      </c>
      <c r="H254" s="14" t="s">
        <v>383</v>
      </c>
      <c r="I254" s="14" t="s">
        <v>483</v>
      </c>
      <c r="J254" s="14" t="s">
        <v>751</v>
      </c>
      <c r="K254" s="15">
        <v>45233</v>
      </c>
      <c r="L254" s="14" t="s">
        <v>1251</v>
      </c>
      <c r="M254" s="14" t="s">
        <v>1543</v>
      </c>
      <c r="N254" s="14">
        <v>381.73</v>
      </c>
      <c r="O254" s="14">
        <v>5</v>
      </c>
      <c r="P254" s="14" t="s">
        <v>2047</v>
      </c>
      <c r="Q254" s="14" t="str">
        <f>_xlfn.IFS(Augmented_Data!$P254="FLAT8","8%",Augmented_Data!$P254="FLAT10","10%",Augmented_Data!$P254="FLAT15","15%",Augmented_Data!$P254="FLAT20","20%",Augmented_Data!$P254="DEL0","0 delivery charge")</f>
        <v>8%</v>
      </c>
      <c r="R254" s="14">
        <v>7</v>
      </c>
      <c r="S254" s="14" t="str">
        <f>_xlfn.IFS(Augmented_Data!U254-Augmented_Data!K254=Augmented_Data!$R254,"Intime",Augmented_Data!U254-Augmented_Data!K254&lt;Augmented_Data!R254,"Before Time",Augmented_Data!U254-Augmented_Data!K254&gt;Augmented_Data!R254,"Late")</f>
        <v>Before Time</v>
      </c>
      <c r="T254" s="14">
        <v>45</v>
      </c>
      <c r="U254" s="15">
        <v>45236</v>
      </c>
      <c r="V254" s="14">
        <f>DATEDIF(Augmented_Data!$K254,Augmented_Data!$U254,"D")</f>
        <v>3</v>
      </c>
      <c r="W254" s="14" t="s">
        <v>1802</v>
      </c>
      <c r="X254" s="14">
        <f>Augmented_Data!$Z254-Augmented_Data!$AA254</f>
        <v>156.29199999999992</v>
      </c>
      <c r="Y254" s="14">
        <f>Augmented_Data!$N254*Augmented_Data!$O254</f>
        <v>1908.65</v>
      </c>
      <c r="Z254" s="14">
        <f>Augmented_Data!$Y254+Augmented_Data!$T254</f>
        <v>1953.65</v>
      </c>
      <c r="AA254" s="16">
        <f>IF(Augmented_Data!Q254="0 delivery charge",Augmented_Data!Z254-Augmented_Data!T254,Augmented_Data!Z254*(1-Augmented_Data!Q254))</f>
        <v>1797.3580000000002</v>
      </c>
    </row>
    <row r="255" spans="1:27" x14ac:dyDescent="0.3">
      <c r="A255" s="11" t="s">
        <v>47</v>
      </c>
      <c r="B255" s="11" t="str">
        <f>_xlfn.CONCAT(Augmented_Data!$C255," ",Augmented_Data!$D255)</f>
        <v>Rachael Robinson</v>
      </c>
      <c r="C255" s="11" t="s">
        <v>145</v>
      </c>
      <c r="D255" s="11" t="s">
        <v>228</v>
      </c>
      <c r="E255" s="11">
        <v>24</v>
      </c>
      <c r="F255" s="11" t="s">
        <v>290</v>
      </c>
      <c r="G255" s="11" t="s">
        <v>298</v>
      </c>
      <c r="H255" s="11" t="s">
        <v>328</v>
      </c>
      <c r="I255" s="11" t="s">
        <v>428</v>
      </c>
      <c r="J255" s="11" t="s">
        <v>752</v>
      </c>
      <c r="K255" s="12">
        <v>45668</v>
      </c>
      <c r="L255" s="11" t="s">
        <v>1252</v>
      </c>
      <c r="M255" s="11" t="s">
        <v>1543</v>
      </c>
      <c r="N255" s="11">
        <v>381.73</v>
      </c>
      <c r="O255" s="11">
        <v>1</v>
      </c>
      <c r="P255" s="11" t="s">
        <v>2047</v>
      </c>
      <c r="Q255" s="11" t="str">
        <f>_xlfn.IFS(Augmented_Data!$P255="FLAT8","8%",Augmented_Data!$P255="FLAT10","10%",Augmented_Data!$P255="FLAT15","15%",Augmented_Data!$P255="FLAT20","20%",Augmented_Data!$P255="DEL0","0 delivery charge")</f>
        <v>8%</v>
      </c>
      <c r="R255" s="11">
        <v>3</v>
      </c>
      <c r="S255" s="11" t="str">
        <f>_xlfn.IFS(Augmented_Data!U255-Augmented_Data!K255=Augmented_Data!$R255,"Intime",Augmented_Data!U255-Augmented_Data!K255&lt;Augmented_Data!R255,"Before Time",Augmented_Data!U255-Augmented_Data!K255&gt;Augmented_Data!R255,"Late")</f>
        <v>Late</v>
      </c>
      <c r="T255" s="11">
        <v>36</v>
      </c>
      <c r="U255" s="12">
        <v>45675</v>
      </c>
      <c r="V255" s="11">
        <f>DATEDIF(Augmented_Data!$K255,Augmented_Data!$U255,"D")</f>
        <v>7</v>
      </c>
      <c r="W255" s="11" t="s">
        <v>1803</v>
      </c>
      <c r="X255" s="11">
        <f>Augmented_Data!$Z255-Augmented_Data!$AA255</f>
        <v>33.418399999999963</v>
      </c>
      <c r="Y255" s="11">
        <f>Augmented_Data!$N255*Augmented_Data!$O255</f>
        <v>381.73</v>
      </c>
      <c r="Z255" s="11">
        <f>Augmented_Data!$Y255+Augmented_Data!$T255</f>
        <v>417.73</v>
      </c>
      <c r="AA255" s="13">
        <f>IF(Augmented_Data!Q255="0 delivery charge",Augmented_Data!Z255-Augmented_Data!T255,Augmented_Data!Z255*(1-Augmented_Data!Q255))</f>
        <v>384.31160000000006</v>
      </c>
    </row>
    <row r="256" spans="1:27" x14ac:dyDescent="0.3">
      <c r="A256" s="14" t="s">
        <v>64</v>
      </c>
      <c r="B256" s="14" t="str">
        <f>_xlfn.CONCAT(Augmented_Data!$C256," ",Augmented_Data!$D256)</f>
        <v>Rebecca Figueroa</v>
      </c>
      <c r="C256" s="14" t="s">
        <v>159</v>
      </c>
      <c r="D256" s="14" t="s">
        <v>245</v>
      </c>
      <c r="E256" s="14">
        <v>63</v>
      </c>
      <c r="F256" s="14" t="s">
        <v>288</v>
      </c>
      <c r="G256" s="14" t="s">
        <v>294</v>
      </c>
      <c r="H256" s="14" t="s">
        <v>345</v>
      </c>
      <c r="I256" s="14" t="s">
        <v>445</v>
      </c>
      <c r="J256" s="14" t="s">
        <v>753</v>
      </c>
      <c r="K256" s="15">
        <v>45457</v>
      </c>
      <c r="L256" s="14" t="s">
        <v>1253</v>
      </c>
      <c r="M256" s="14" t="s">
        <v>1534</v>
      </c>
      <c r="N256" s="14">
        <v>425.59</v>
      </c>
      <c r="O256" s="14">
        <v>1</v>
      </c>
      <c r="P256" s="14" t="s">
        <v>1550</v>
      </c>
      <c r="Q256" s="14" t="str">
        <f>_xlfn.IFS(Augmented_Data!$P256="FLAT8","8%",Augmented_Data!$P256="FLAT10","10%",Augmented_Data!$P256="FLAT15","15%",Augmented_Data!$P256="FLAT20","20%",Augmented_Data!$P256="DEL0","0 delivery charge")</f>
        <v>20%</v>
      </c>
      <c r="R256" s="14">
        <v>7</v>
      </c>
      <c r="S256" s="14" t="str">
        <f>_xlfn.IFS(Augmented_Data!U256-Augmented_Data!K256=Augmented_Data!$R256,"Intime",Augmented_Data!U256-Augmented_Data!K256&lt;Augmented_Data!R256,"Before Time",Augmented_Data!U256-Augmented_Data!K256&gt;Augmented_Data!R256,"Late")</f>
        <v>Before Time</v>
      </c>
      <c r="T256" s="14">
        <v>40</v>
      </c>
      <c r="U256" s="15">
        <v>45460</v>
      </c>
      <c r="V256" s="14">
        <f>DATEDIF(Augmented_Data!$K256,Augmented_Data!$U256,"D")</f>
        <v>3</v>
      </c>
      <c r="W256" s="14" t="s">
        <v>1804</v>
      </c>
      <c r="X256" s="14">
        <f>Augmented_Data!$Z256-Augmented_Data!$AA256</f>
        <v>93.117999999999995</v>
      </c>
      <c r="Y256" s="14">
        <f>Augmented_Data!$N256*Augmented_Data!$O256</f>
        <v>425.59</v>
      </c>
      <c r="Z256" s="14">
        <f>Augmented_Data!$Y256+Augmented_Data!$T256</f>
        <v>465.59</v>
      </c>
      <c r="AA256" s="16">
        <f>IF(Augmented_Data!Q256="0 delivery charge",Augmented_Data!Z256-Augmented_Data!T256,Augmented_Data!Z256*(1-Augmented_Data!Q256))</f>
        <v>372.47199999999998</v>
      </c>
    </row>
    <row r="257" spans="1:27" x14ac:dyDescent="0.3">
      <c r="A257" s="11" t="s">
        <v>46</v>
      </c>
      <c r="B257" s="11" t="str">
        <f>_xlfn.CONCAT(Augmented_Data!$C257," ",Augmented_Data!$D257)</f>
        <v>Lauren Long</v>
      </c>
      <c r="C257" s="11" t="s">
        <v>144</v>
      </c>
      <c r="D257" s="11" t="s">
        <v>227</v>
      </c>
      <c r="E257" s="11">
        <v>44</v>
      </c>
      <c r="F257" s="11" t="s">
        <v>288</v>
      </c>
      <c r="G257" s="11" t="s">
        <v>298</v>
      </c>
      <c r="H257" s="11" t="s">
        <v>327</v>
      </c>
      <c r="I257" s="11" t="s">
        <v>427</v>
      </c>
      <c r="J257" s="11" t="s">
        <v>754</v>
      </c>
      <c r="K257" s="12">
        <v>45659</v>
      </c>
      <c r="L257" s="11" t="s">
        <v>1254</v>
      </c>
      <c r="M257" s="11" t="s">
        <v>1525</v>
      </c>
      <c r="N257" s="11">
        <v>481.48</v>
      </c>
      <c r="O257" s="11">
        <v>4</v>
      </c>
      <c r="P257" s="11" t="s">
        <v>1548</v>
      </c>
      <c r="Q257" s="11" t="str">
        <f>_xlfn.IFS(Augmented_Data!$P257="FLAT8","8%",Augmented_Data!$P257="FLAT10","10%",Augmented_Data!$P257="FLAT15","15%",Augmented_Data!$P257="FLAT20","20%",Augmented_Data!$P257="DEL0","0 delivery charge")</f>
        <v>15%</v>
      </c>
      <c r="R257" s="11">
        <v>4</v>
      </c>
      <c r="S257" s="11" t="str">
        <f>_xlfn.IFS(Augmented_Data!U257-Augmented_Data!K257=Augmented_Data!$R257,"Intime",Augmented_Data!U257-Augmented_Data!K257&lt;Augmented_Data!R257,"Before Time",Augmented_Data!U257-Augmented_Data!K257&gt;Augmented_Data!R257,"Late")</f>
        <v>Late</v>
      </c>
      <c r="T257" s="11">
        <v>67</v>
      </c>
      <c r="U257" s="12">
        <v>45665</v>
      </c>
      <c r="V257" s="11">
        <f>DATEDIF(Augmented_Data!$K257,Augmented_Data!$U257,"D")</f>
        <v>6</v>
      </c>
      <c r="W257" s="11" t="s">
        <v>1805</v>
      </c>
      <c r="X257" s="11">
        <f>Augmented_Data!$Z257-Augmented_Data!$AA257</f>
        <v>298.9380000000001</v>
      </c>
      <c r="Y257" s="11">
        <f>Augmented_Data!$N257*Augmented_Data!$O257</f>
        <v>1925.92</v>
      </c>
      <c r="Z257" s="11">
        <f>Augmented_Data!$Y257+Augmented_Data!$T257</f>
        <v>1992.92</v>
      </c>
      <c r="AA257" s="13">
        <f>IF(Augmented_Data!Q257="0 delivery charge",Augmented_Data!Z257-Augmented_Data!T257,Augmented_Data!Z257*(1-Augmented_Data!Q257))</f>
        <v>1693.982</v>
      </c>
    </row>
    <row r="258" spans="1:27" x14ac:dyDescent="0.3">
      <c r="A258" s="14" t="s">
        <v>32</v>
      </c>
      <c r="B258" s="14" t="str">
        <f>_xlfn.CONCAT(Augmented_Data!$C258," ",Augmented_Data!$D258)</f>
        <v>Joshua Campbell</v>
      </c>
      <c r="C258" s="14" t="s">
        <v>132</v>
      </c>
      <c r="D258" s="14" t="s">
        <v>214</v>
      </c>
      <c r="E258" s="14">
        <v>24</v>
      </c>
      <c r="F258" s="14" t="s">
        <v>288</v>
      </c>
      <c r="G258" s="14" t="s">
        <v>293</v>
      </c>
      <c r="H258" s="14" t="s">
        <v>313</v>
      </c>
      <c r="I258" s="14" t="s">
        <v>413</v>
      </c>
      <c r="J258" s="14" t="s">
        <v>755</v>
      </c>
      <c r="K258" s="15">
        <v>45512</v>
      </c>
      <c r="L258" s="14" t="s">
        <v>1255</v>
      </c>
      <c r="M258" s="14" t="s">
        <v>1519</v>
      </c>
      <c r="N258" s="14">
        <v>421.7</v>
      </c>
      <c r="O258" s="14">
        <v>2</v>
      </c>
      <c r="P258" s="14" t="s">
        <v>1549</v>
      </c>
      <c r="Q258" s="14" t="str">
        <f>_xlfn.IFS(Augmented_Data!$P258="FLAT8","8%",Augmented_Data!$P258="FLAT10","10%",Augmented_Data!$P258="FLAT15","15%",Augmented_Data!$P258="FLAT20","20%",Augmented_Data!$P258="DEL0","0 delivery charge")</f>
        <v>10%</v>
      </c>
      <c r="R258" s="14">
        <v>2</v>
      </c>
      <c r="S258" s="14" t="str">
        <f>_xlfn.IFS(Augmented_Data!U258-Augmented_Data!K258=Augmented_Data!$R258,"Intime",Augmented_Data!U258-Augmented_Data!K258&lt;Augmented_Data!R258,"Before Time",Augmented_Data!U258-Augmented_Data!K258&gt;Augmented_Data!R258,"Late")</f>
        <v>Intime</v>
      </c>
      <c r="T258" s="14">
        <v>54</v>
      </c>
      <c r="U258" s="15">
        <v>45514</v>
      </c>
      <c r="V258" s="14">
        <f>DATEDIF(Augmented_Data!$K258,Augmented_Data!$U258,"D")</f>
        <v>2</v>
      </c>
      <c r="W258" s="14" t="s">
        <v>1806</v>
      </c>
      <c r="X258" s="14">
        <f>Augmented_Data!$Z258-Augmented_Data!$AA258</f>
        <v>89.740000000000009</v>
      </c>
      <c r="Y258" s="14">
        <f>Augmented_Data!$N258*Augmented_Data!$O258</f>
        <v>843.4</v>
      </c>
      <c r="Z258" s="14">
        <f>Augmented_Data!$Y258+Augmented_Data!$T258</f>
        <v>897.4</v>
      </c>
      <c r="AA258" s="16">
        <f>IF(Augmented_Data!Q258="0 delivery charge",Augmented_Data!Z258-Augmented_Data!T258,Augmented_Data!Z258*(1-Augmented_Data!Q258))</f>
        <v>807.66</v>
      </c>
    </row>
    <row r="259" spans="1:27" x14ac:dyDescent="0.3">
      <c r="A259" s="11" t="s">
        <v>49</v>
      </c>
      <c r="B259" s="11" t="str">
        <f>_xlfn.CONCAT(Augmented_Data!$C259," ",Augmented_Data!$D259)</f>
        <v>Valerie Carr</v>
      </c>
      <c r="C259" s="11" t="s">
        <v>147</v>
      </c>
      <c r="D259" s="11" t="s">
        <v>230</v>
      </c>
      <c r="E259" s="11">
        <v>26</v>
      </c>
      <c r="F259" s="11" t="s">
        <v>290</v>
      </c>
      <c r="G259" s="11" t="s">
        <v>297</v>
      </c>
      <c r="H259" s="11" t="s">
        <v>330</v>
      </c>
      <c r="I259" s="11" t="s">
        <v>430</v>
      </c>
      <c r="J259" s="11" t="s">
        <v>756</v>
      </c>
      <c r="K259" s="12">
        <v>45393</v>
      </c>
      <c r="L259" s="11" t="s">
        <v>1256</v>
      </c>
      <c r="M259" s="11" t="s">
        <v>1521</v>
      </c>
      <c r="N259" s="11">
        <v>110.95</v>
      </c>
      <c r="O259" s="11">
        <v>3</v>
      </c>
      <c r="P259" s="11" t="s">
        <v>1547</v>
      </c>
      <c r="Q259" s="11" t="str">
        <f>_xlfn.IFS(Augmented_Data!$P259="FLAT8","8%",Augmented_Data!$P259="FLAT10","10%",Augmented_Data!$P259="FLAT15","15%",Augmented_Data!$P259="FLAT20","20%",Augmented_Data!$P259="DEL0","0 delivery charge")</f>
        <v>0 delivery charge</v>
      </c>
      <c r="R259" s="11">
        <v>5</v>
      </c>
      <c r="S259" s="11" t="str">
        <f>_xlfn.IFS(Augmented_Data!U259-Augmented_Data!K259=Augmented_Data!$R259,"Intime",Augmented_Data!U259-Augmented_Data!K259&lt;Augmented_Data!R259,"Before Time",Augmented_Data!U259-Augmented_Data!K259&gt;Augmented_Data!R259,"Late")</f>
        <v>Late</v>
      </c>
      <c r="T259" s="11">
        <v>47</v>
      </c>
      <c r="U259" s="12">
        <v>45399</v>
      </c>
      <c r="V259" s="11">
        <f>DATEDIF(Augmented_Data!$K259,Augmented_Data!$U259,"D")</f>
        <v>6</v>
      </c>
      <c r="W259" s="11" t="s">
        <v>1807</v>
      </c>
      <c r="X259" s="11">
        <f>Augmented_Data!$Z259-Augmented_Data!$AA259</f>
        <v>47</v>
      </c>
      <c r="Y259" s="11">
        <f>Augmented_Data!$N259*Augmented_Data!$O259</f>
        <v>332.85</v>
      </c>
      <c r="Z259" s="11">
        <f>Augmented_Data!$Y259+Augmented_Data!$T259</f>
        <v>379.85</v>
      </c>
      <c r="AA259" s="13">
        <f>IF(Augmented_Data!Q259="0 delivery charge",Augmented_Data!Z259-Augmented_Data!T259,Augmented_Data!Z259*(1-Augmented_Data!Q259))</f>
        <v>332.85</v>
      </c>
    </row>
    <row r="260" spans="1:27" x14ac:dyDescent="0.3">
      <c r="A260" s="14" t="s">
        <v>70</v>
      </c>
      <c r="B260" s="14" t="str">
        <f>_xlfn.CONCAT(Augmented_Data!$C260," ",Augmented_Data!$D260)</f>
        <v>Sarah Butler</v>
      </c>
      <c r="C260" s="14" t="s">
        <v>164</v>
      </c>
      <c r="D260" s="14" t="s">
        <v>248</v>
      </c>
      <c r="E260" s="14">
        <v>64</v>
      </c>
      <c r="F260" s="14" t="s">
        <v>288</v>
      </c>
      <c r="G260" s="14" t="s">
        <v>291</v>
      </c>
      <c r="H260" s="14" t="s">
        <v>351</v>
      </c>
      <c r="I260" s="14" t="s">
        <v>451</v>
      </c>
      <c r="J260" s="14" t="s">
        <v>757</v>
      </c>
      <c r="K260" s="15">
        <v>45188</v>
      </c>
      <c r="L260" s="14" t="s">
        <v>1257</v>
      </c>
      <c r="M260" s="14" t="s">
        <v>1517</v>
      </c>
      <c r="N260" s="14">
        <v>282.63</v>
      </c>
      <c r="O260" s="14">
        <v>4</v>
      </c>
      <c r="P260" s="14" t="s">
        <v>1549</v>
      </c>
      <c r="Q260" s="14" t="str">
        <f>_xlfn.IFS(Augmented_Data!$P260="FLAT8","8%",Augmented_Data!$P260="FLAT10","10%",Augmented_Data!$P260="FLAT15","15%",Augmented_Data!$P260="FLAT20","20%",Augmented_Data!$P260="DEL0","0 delivery charge")</f>
        <v>10%</v>
      </c>
      <c r="R260" s="14">
        <v>3</v>
      </c>
      <c r="S260" s="14" t="str">
        <f>_xlfn.IFS(Augmented_Data!U260-Augmented_Data!K260=Augmented_Data!$R260,"Intime",Augmented_Data!U260-Augmented_Data!K260&lt;Augmented_Data!R260,"Before Time",Augmented_Data!U260-Augmented_Data!K260&gt;Augmented_Data!R260,"Late")</f>
        <v>Intime</v>
      </c>
      <c r="T260" s="14">
        <v>52</v>
      </c>
      <c r="U260" s="15">
        <v>45191</v>
      </c>
      <c r="V260" s="14">
        <f>DATEDIF(Augmented_Data!$K260,Augmented_Data!$U260,"D")</f>
        <v>3</v>
      </c>
      <c r="W260" s="14" t="s">
        <v>1808</v>
      </c>
      <c r="X260" s="14">
        <f>Augmented_Data!$Z260-Augmented_Data!$AA260</f>
        <v>118.25199999999995</v>
      </c>
      <c r="Y260" s="14">
        <f>Augmented_Data!$N260*Augmented_Data!$O260</f>
        <v>1130.52</v>
      </c>
      <c r="Z260" s="14">
        <f>Augmented_Data!$Y260+Augmented_Data!$T260</f>
        <v>1182.52</v>
      </c>
      <c r="AA260" s="16">
        <f>IF(Augmented_Data!Q260="0 delivery charge",Augmented_Data!Z260-Augmented_Data!T260,Augmented_Data!Z260*(1-Augmented_Data!Q260))</f>
        <v>1064.268</v>
      </c>
    </row>
    <row r="261" spans="1:27" x14ac:dyDescent="0.3">
      <c r="A261" s="11" t="s">
        <v>97</v>
      </c>
      <c r="B261" s="11" t="str">
        <f>_xlfn.CONCAT(Augmented_Data!$C261," ",Augmented_Data!$D261)</f>
        <v>Susan Thompson</v>
      </c>
      <c r="C261" s="11" t="s">
        <v>186</v>
      </c>
      <c r="D261" s="11" t="s">
        <v>238</v>
      </c>
      <c r="E261" s="11">
        <v>37</v>
      </c>
      <c r="F261" s="11" t="s">
        <v>290</v>
      </c>
      <c r="G261" s="11" t="s">
        <v>298</v>
      </c>
      <c r="H261" s="11" t="s">
        <v>378</v>
      </c>
      <c r="I261" s="11" t="s">
        <v>478</v>
      </c>
      <c r="J261" s="11" t="s">
        <v>758</v>
      </c>
      <c r="K261" s="12">
        <v>45335</v>
      </c>
      <c r="L261" s="11" t="s">
        <v>1258</v>
      </c>
      <c r="M261" s="11" t="s">
        <v>1522</v>
      </c>
      <c r="N261" s="11">
        <v>158.53</v>
      </c>
      <c r="O261" s="11">
        <v>3</v>
      </c>
      <c r="P261" s="11" t="s">
        <v>1549</v>
      </c>
      <c r="Q261" s="11" t="str">
        <f>_xlfn.IFS(Augmented_Data!$P261="FLAT8","8%",Augmented_Data!$P261="FLAT10","10%",Augmented_Data!$P261="FLAT15","15%",Augmented_Data!$P261="FLAT20","20%",Augmented_Data!$P261="DEL0","0 delivery charge")</f>
        <v>10%</v>
      </c>
      <c r="R261" s="11">
        <v>3</v>
      </c>
      <c r="S261" s="11" t="str">
        <f>_xlfn.IFS(Augmented_Data!U261-Augmented_Data!K261=Augmented_Data!$R261,"Intime",Augmented_Data!U261-Augmented_Data!K261&lt;Augmented_Data!R261,"Before Time",Augmented_Data!U261-Augmented_Data!K261&gt;Augmented_Data!R261,"Late")</f>
        <v>Before Time</v>
      </c>
      <c r="T261" s="11">
        <v>63</v>
      </c>
      <c r="U261" s="12">
        <v>45336</v>
      </c>
      <c r="V261" s="11">
        <f>DATEDIF(Augmented_Data!$K261,Augmented_Data!$U261,"D")</f>
        <v>1</v>
      </c>
      <c r="W261" s="11" t="s">
        <v>1809</v>
      </c>
      <c r="X261" s="11">
        <f>Augmented_Data!$Z261-Augmented_Data!$AA261</f>
        <v>53.85899999999998</v>
      </c>
      <c r="Y261" s="11">
        <f>Augmented_Data!$N261*Augmented_Data!$O261</f>
        <v>475.59000000000003</v>
      </c>
      <c r="Z261" s="11">
        <f>Augmented_Data!$Y261+Augmented_Data!$T261</f>
        <v>538.59</v>
      </c>
      <c r="AA261" s="13">
        <f>IF(Augmented_Data!Q261="0 delivery charge",Augmented_Data!Z261-Augmented_Data!T261,Augmented_Data!Z261*(1-Augmented_Data!Q261))</f>
        <v>484.73100000000005</v>
      </c>
    </row>
    <row r="262" spans="1:27" x14ac:dyDescent="0.3">
      <c r="A262" s="14" t="s">
        <v>90</v>
      </c>
      <c r="B262" s="14" t="str">
        <f>_xlfn.CONCAT(Augmented_Data!$C262," ",Augmented_Data!$D262)</f>
        <v>Mark Summers</v>
      </c>
      <c r="C262" s="14" t="s">
        <v>139</v>
      </c>
      <c r="D262" s="14" t="s">
        <v>266</v>
      </c>
      <c r="E262" s="14">
        <v>55</v>
      </c>
      <c r="F262" s="14" t="s">
        <v>289</v>
      </c>
      <c r="G262" s="14" t="s">
        <v>293</v>
      </c>
      <c r="H262" s="14" t="s">
        <v>371</v>
      </c>
      <c r="I262" s="14" t="s">
        <v>471</v>
      </c>
      <c r="J262" s="14" t="s">
        <v>795</v>
      </c>
      <c r="K262" s="15">
        <v>45026</v>
      </c>
      <c r="L262" s="14" t="s">
        <v>1295</v>
      </c>
      <c r="M262" s="14" t="s">
        <v>1520</v>
      </c>
      <c r="N262" s="14">
        <v>62.42</v>
      </c>
      <c r="O262" s="14">
        <v>3</v>
      </c>
      <c r="P262" s="14" t="s">
        <v>2047</v>
      </c>
      <c r="Q262" s="14" t="str">
        <f>_xlfn.IFS(Augmented_Data!$P262="FLAT8","8%",Augmented_Data!$P262="FLAT10","10%",Augmented_Data!$P262="FLAT15","15%",Augmented_Data!$P262="FLAT20","20%",Augmented_Data!$P262="DEL0","0 delivery charge")</f>
        <v>8%</v>
      </c>
      <c r="R262" s="14">
        <v>3</v>
      </c>
      <c r="S262" s="14" t="str">
        <f>_xlfn.IFS(Augmented_Data!U262-Augmented_Data!K262=Augmented_Data!$R262,"Intime",Augmented_Data!U262-Augmented_Data!K262&lt;Augmented_Data!R262,"Before Time",Augmented_Data!U262-Augmented_Data!K262&gt;Augmented_Data!R262,"Late")</f>
        <v>Late</v>
      </c>
      <c r="T262" s="14">
        <v>37</v>
      </c>
      <c r="U262" s="15">
        <v>45031</v>
      </c>
      <c r="V262" s="14">
        <f>DATEDIF(Augmented_Data!$K262,Augmented_Data!$U262,"D")</f>
        <v>5</v>
      </c>
      <c r="W262" s="14" t="s">
        <v>1846</v>
      </c>
      <c r="X262" s="14">
        <f>Augmented_Data!$Z262-Augmented_Data!$AA262</f>
        <v>17.940799999999996</v>
      </c>
      <c r="Y262" s="14">
        <f>Augmented_Data!$N262*Augmented_Data!$O262</f>
        <v>187.26</v>
      </c>
      <c r="Z262" s="14">
        <f>Augmented_Data!$Y262+Augmented_Data!$T262</f>
        <v>224.26</v>
      </c>
      <c r="AA262" s="16">
        <f>IF(Augmented_Data!Q262="0 delivery charge",Augmented_Data!Z262-Augmented_Data!T262,Augmented_Data!Z262*(1-Augmented_Data!Q262))</f>
        <v>206.3192</v>
      </c>
    </row>
    <row r="263" spans="1:27" x14ac:dyDescent="0.3">
      <c r="A263" s="11" t="s">
        <v>49</v>
      </c>
      <c r="B263" s="11" t="str">
        <f>_xlfn.CONCAT(Augmented_Data!$C263," ",Augmented_Data!$D263)</f>
        <v>Valerie Carr</v>
      </c>
      <c r="C263" s="11" t="s">
        <v>147</v>
      </c>
      <c r="D263" s="11" t="s">
        <v>230</v>
      </c>
      <c r="E263" s="11">
        <v>26</v>
      </c>
      <c r="F263" s="11" t="s">
        <v>290</v>
      </c>
      <c r="G263" s="11" t="s">
        <v>297</v>
      </c>
      <c r="H263" s="11" t="s">
        <v>330</v>
      </c>
      <c r="I263" s="11" t="s">
        <v>430</v>
      </c>
      <c r="J263" s="11" t="s">
        <v>760</v>
      </c>
      <c r="K263" s="12">
        <v>45454</v>
      </c>
      <c r="L263" s="11" t="s">
        <v>1260</v>
      </c>
      <c r="M263" s="11" t="s">
        <v>1539</v>
      </c>
      <c r="N263" s="11">
        <v>235.63</v>
      </c>
      <c r="O263" s="11">
        <v>2</v>
      </c>
      <c r="P263" s="11" t="s">
        <v>1548</v>
      </c>
      <c r="Q263" s="11" t="str">
        <f>_xlfn.IFS(Augmented_Data!$P263="FLAT8","8%",Augmented_Data!$P263="FLAT10","10%",Augmented_Data!$P263="FLAT15","15%",Augmented_Data!$P263="FLAT20","20%",Augmented_Data!$P263="DEL0","0 delivery charge")</f>
        <v>15%</v>
      </c>
      <c r="R263" s="11">
        <v>4</v>
      </c>
      <c r="S263" s="11" t="str">
        <f>_xlfn.IFS(Augmented_Data!U263-Augmented_Data!K263=Augmented_Data!$R263,"Intime",Augmented_Data!U263-Augmented_Data!K263&lt;Augmented_Data!R263,"Before Time",Augmented_Data!U263-Augmented_Data!K263&gt;Augmented_Data!R263,"Late")</f>
        <v>Intime</v>
      </c>
      <c r="T263" s="11">
        <v>44</v>
      </c>
      <c r="U263" s="12">
        <v>45458</v>
      </c>
      <c r="V263" s="11">
        <f>DATEDIF(Augmented_Data!$K263,Augmented_Data!$U263,"D")</f>
        <v>4</v>
      </c>
      <c r="W263" s="11" t="s">
        <v>1811</v>
      </c>
      <c r="X263" s="11">
        <f>Augmented_Data!$Z263-Augmented_Data!$AA263</f>
        <v>77.288999999999987</v>
      </c>
      <c r="Y263" s="11">
        <f>Augmented_Data!$N263*Augmented_Data!$O263</f>
        <v>471.26</v>
      </c>
      <c r="Z263" s="11">
        <f>Augmented_Data!$Y263+Augmented_Data!$T263</f>
        <v>515.26</v>
      </c>
      <c r="AA263" s="13">
        <f>IF(Augmented_Data!Q263="0 delivery charge",Augmented_Data!Z263-Augmented_Data!T263,Augmented_Data!Z263*(1-Augmented_Data!Q263))</f>
        <v>437.971</v>
      </c>
    </row>
    <row r="264" spans="1:27" x14ac:dyDescent="0.3">
      <c r="A264" s="14" t="s">
        <v>46</v>
      </c>
      <c r="B264" s="14" t="str">
        <f>_xlfn.CONCAT(Augmented_Data!$C264," ",Augmented_Data!$D264)</f>
        <v>Lauren Long</v>
      </c>
      <c r="C264" s="14" t="s">
        <v>144</v>
      </c>
      <c r="D264" s="14" t="s">
        <v>227</v>
      </c>
      <c r="E264" s="14">
        <v>44</v>
      </c>
      <c r="F264" s="14" t="s">
        <v>288</v>
      </c>
      <c r="G264" s="14" t="s">
        <v>298</v>
      </c>
      <c r="H264" s="14" t="s">
        <v>327</v>
      </c>
      <c r="I264" s="14" t="s">
        <v>427</v>
      </c>
      <c r="J264" s="14" t="s">
        <v>761</v>
      </c>
      <c r="K264" s="15">
        <v>45547</v>
      </c>
      <c r="L264" s="14" t="s">
        <v>1261</v>
      </c>
      <c r="M264" s="14" t="s">
        <v>1524</v>
      </c>
      <c r="N264" s="14">
        <v>157.63999999999999</v>
      </c>
      <c r="O264" s="14">
        <v>2</v>
      </c>
      <c r="P264" s="14" t="s">
        <v>2047</v>
      </c>
      <c r="Q264" s="14" t="str">
        <f>_xlfn.IFS(Augmented_Data!$P264="FLAT8","8%",Augmented_Data!$P264="FLAT10","10%",Augmented_Data!$P264="FLAT15","15%",Augmented_Data!$P264="FLAT20","20%",Augmented_Data!$P264="DEL0","0 delivery charge")</f>
        <v>8%</v>
      </c>
      <c r="R264" s="14">
        <v>1</v>
      </c>
      <c r="S264" s="14" t="str">
        <f>_xlfn.IFS(Augmented_Data!U264-Augmented_Data!K264=Augmented_Data!$R264,"Intime",Augmented_Data!U264-Augmented_Data!K264&lt;Augmented_Data!R264,"Before Time",Augmented_Data!U264-Augmented_Data!K264&gt;Augmented_Data!R264,"Late")</f>
        <v>Late</v>
      </c>
      <c r="T264" s="14">
        <v>56</v>
      </c>
      <c r="U264" s="15">
        <v>45552</v>
      </c>
      <c r="V264" s="14">
        <f>DATEDIF(Augmented_Data!$K264,Augmented_Data!$U264,"D")</f>
        <v>5</v>
      </c>
      <c r="W264" s="14" t="s">
        <v>1812</v>
      </c>
      <c r="X264" s="14">
        <f>Augmented_Data!$Z264-Augmented_Data!$AA264</f>
        <v>29.702399999999955</v>
      </c>
      <c r="Y264" s="14">
        <f>Augmented_Data!$N264*Augmented_Data!$O264</f>
        <v>315.27999999999997</v>
      </c>
      <c r="Z264" s="14">
        <f>Augmented_Data!$Y264+Augmented_Data!$T264</f>
        <v>371.28</v>
      </c>
      <c r="AA264" s="16">
        <f>IF(Augmented_Data!Q264="0 delivery charge",Augmented_Data!Z264-Augmented_Data!T264,Augmented_Data!Z264*(1-Augmented_Data!Q264))</f>
        <v>341.57760000000002</v>
      </c>
    </row>
    <row r="265" spans="1:27" x14ac:dyDescent="0.3">
      <c r="A265" s="11" t="s">
        <v>44</v>
      </c>
      <c r="B265" s="11" t="str">
        <f>_xlfn.CONCAT(Augmented_Data!$C265," ",Augmented_Data!$D265)</f>
        <v>Ashley Rose</v>
      </c>
      <c r="C265" s="11" t="s">
        <v>142</v>
      </c>
      <c r="D265" s="11" t="s">
        <v>225</v>
      </c>
      <c r="E265" s="11">
        <v>60</v>
      </c>
      <c r="F265" s="11" t="s">
        <v>290</v>
      </c>
      <c r="G265" s="11" t="s">
        <v>291</v>
      </c>
      <c r="H265" s="11" t="s">
        <v>325</v>
      </c>
      <c r="I265" s="11" t="s">
        <v>425</v>
      </c>
      <c r="J265" s="11" t="s">
        <v>762</v>
      </c>
      <c r="K265" s="12">
        <v>44996</v>
      </c>
      <c r="L265" s="11" t="s">
        <v>1262</v>
      </c>
      <c r="M265" s="11" t="s">
        <v>1506</v>
      </c>
      <c r="N265" s="11">
        <v>372.62</v>
      </c>
      <c r="O265" s="11">
        <v>4</v>
      </c>
      <c r="P265" s="11" t="s">
        <v>1548</v>
      </c>
      <c r="Q265" s="11" t="str">
        <f>_xlfn.IFS(Augmented_Data!$P265="FLAT8","8%",Augmented_Data!$P265="FLAT10","10%",Augmented_Data!$P265="FLAT15","15%",Augmented_Data!$P265="FLAT20","20%",Augmented_Data!$P265="DEL0","0 delivery charge")</f>
        <v>15%</v>
      </c>
      <c r="R265" s="11">
        <v>2</v>
      </c>
      <c r="S265" s="11" t="str">
        <f>_xlfn.IFS(Augmented_Data!U265-Augmented_Data!K265=Augmented_Data!$R265,"Intime",Augmented_Data!U265-Augmented_Data!K265&lt;Augmented_Data!R265,"Before Time",Augmented_Data!U265-Augmented_Data!K265&gt;Augmented_Data!R265,"Late")</f>
        <v>Late</v>
      </c>
      <c r="T265" s="11">
        <v>42</v>
      </c>
      <c r="U265" s="12">
        <v>45001</v>
      </c>
      <c r="V265" s="11">
        <f>DATEDIF(Augmented_Data!$K265,Augmented_Data!$U265,"D")</f>
        <v>5</v>
      </c>
      <c r="W265" s="11" t="s">
        <v>1813</v>
      </c>
      <c r="X265" s="11">
        <f>Augmented_Data!$Z265-Augmented_Data!$AA265</f>
        <v>229.87200000000007</v>
      </c>
      <c r="Y265" s="11">
        <f>Augmented_Data!$N265*Augmented_Data!$O265</f>
        <v>1490.48</v>
      </c>
      <c r="Z265" s="11">
        <f>Augmented_Data!$Y265+Augmented_Data!$T265</f>
        <v>1532.48</v>
      </c>
      <c r="AA265" s="13">
        <f>IF(Augmented_Data!Q265="0 delivery charge",Augmented_Data!Z265-Augmented_Data!T265,Augmented_Data!Z265*(1-Augmented_Data!Q265))</f>
        <v>1302.6079999999999</v>
      </c>
    </row>
    <row r="266" spans="1:27" x14ac:dyDescent="0.3">
      <c r="A266" s="14" t="s">
        <v>110</v>
      </c>
      <c r="B266" s="14" t="str">
        <f>_xlfn.CONCAT(Augmented_Data!$C266," ",Augmented_Data!$D266)</f>
        <v>Brendan Kelly</v>
      </c>
      <c r="C266" s="14" t="s">
        <v>195</v>
      </c>
      <c r="D266" s="14" t="s">
        <v>200</v>
      </c>
      <c r="E266" s="14">
        <v>50</v>
      </c>
      <c r="F266" s="14" t="s">
        <v>290</v>
      </c>
      <c r="G266" s="14" t="s">
        <v>297</v>
      </c>
      <c r="H266" s="14" t="s">
        <v>391</v>
      </c>
      <c r="I266" s="14" t="s">
        <v>491</v>
      </c>
      <c r="J266" s="14" t="s">
        <v>797</v>
      </c>
      <c r="K266" s="15">
        <v>45672</v>
      </c>
      <c r="L266" s="14" t="s">
        <v>1297</v>
      </c>
      <c r="M266" s="14" t="s">
        <v>1536</v>
      </c>
      <c r="N266" s="14">
        <v>403.03</v>
      </c>
      <c r="O266" s="14">
        <v>2</v>
      </c>
      <c r="P266" s="14" t="s">
        <v>1550</v>
      </c>
      <c r="Q266" s="14" t="str">
        <f>_xlfn.IFS(Augmented_Data!$P266="FLAT8","8%",Augmented_Data!$P266="FLAT10","10%",Augmented_Data!$P266="FLAT15","15%",Augmented_Data!$P266="FLAT20","20%",Augmented_Data!$P266="DEL0","0 delivery charge")</f>
        <v>20%</v>
      </c>
      <c r="R266" s="14">
        <v>3</v>
      </c>
      <c r="S266" s="14" t="str">
        <f>_xlfn.IFS(Augmented_Data!U266-Augmented_Data!K266=Augmented_Data!$R266,"Intime",Augmented_Data!U266-Augmented_Data!K266&lt;Augmented_Data!R266,"Before Time",Augmented_Data!U266-Augmented_Data!K266&gt;Augmented_Data!R266,"Late")</f>
        <v>Late</v>
      </c>
      <c r="T266" s="14">
        <v>61</v>
      </c>
      <c r="U266" s="15">
        <v>45677</v>
      </c>
      <c r="V266" s="14">
        <f>DATEDIF(Augmented_Data!$K266,Augmented_Data!$U266,"D")</f>
        <v>5</v>
      </c>
      <c r="W266" s="14" t="s">
        <v>1848</v>
      </c>
      <c r="X266" s="14">
        <f>Augmented_Data!$Z266-Augmented_Data!$AA266</f>
        <v>173.41199999999992</v>
      </c>
      <c r="Y266" s="14">
        <f>Augmented_Data!$N266*Augmented_Data!$O266</f>
        <v>806.06</v>
      </c>
      <c r="Z266" s="14">
        <f>Augmented_Data!$Y266+Augmented_Data!$T266</f>
        <v>867.06</v>
      </c>
      <c r="AA266" s="16">
        <f>IF(Augmented_Data!Q266="0 delivery charge",Augmented_Data!Z266-Augmented_Data!T266,Augmented_Data!Z266*(1-Augmented_Data!Q266))</f>
        <v>693.64800000000002</v>
      </c>
    </row>
    <row r="267" spans="1:27" x14ac:dyDescent="0.3">
      <c r="A267" s="11" t="s">
        <v>38</v>
      </c>
      <c r="B267" s="11" t="str">
        <f>_xlfn.CONCAT(Augmented_Data!$C267," ",Augmented_Data!$D267)</f>
        <v>Christian Clayton</v>
      </c>
      <c r="C267" s="11" t="s">
        <v>138</v>
      </c>
      <c r="D267" s="11" t="s">
        <v>219</v>
      </c>
      <c r="E267" s="11">
        <v>39</v>
      </c>
      <c r="F267" s="11" t="s">
        <v>289</v>
      </c>
      <c r="G267" s="11" t="s">
        <v>293</v>
      </c>
      <c r="H267" s="11" t="s">
        <v>319</v>
      </c>
      <c r="I267" s="11" t="s">
        <v>419</v>
      </c>
      <c r="J267" s="11" t="s">
        <v>764</v>
      </c>
      <c r="K267" s="12">
        <v>45366</v>
      </c>
      <c r="L267" s="11" t="s">
        <v>1264</v>
      </c>
      <c r="M267" s="11" t="s">
        <v>1513</v>
      </c>
      <c r="N267" s="11">
        <v>20.7</v>
      </c>
      <c r="O267" s="11">
        <v>3</v>
      </c>
      <c r="P267" s="11" t="s">
        <v>1547</v>
      </c>
      <c r="Q267" s="11" t="str">
        <f>_xlfn.IFS(Augmented_Data!$P267="FLAT8","8%",Augmented_Data!$P267="FLAT10","10%",Augmented_Data!$P267="FLAT15","15%",Augmented_Data!$P267="FLAT20","20%",Augmented_Data!$P267="DEL0","0 delivery charge")</f>
        <v>0 delivery charge</v>
      </c>
      <c r="R267" s="11">
        <v>1</v>
      </c>
      <c r="S267" s="11" t="str">
        <f>_xlfn.IFS(Augmented_Data!U267-Augmented_Data!K267=Augmented_Data!$R267,"Intime",Augmented_Data!U267-Augmented_Data!K267&lt;Augmented_Data!R267,"Before Time",Augmented_Data!U267-Augmented_Data!K267&gt;Augmented_Data!R267,"Late")</f>
        <v>Late</v>
      </c>
      <c r="T267" s="11">
        <v>67</v>
      </c>
      <c r="U267" s="12">
        <v>45372</v>
      </c>
      <c r="V267" s="11">
        <f>DATEDIF(Augmented_Data!$K267,Augmented_Data!$U267,"D")</f>
        <v>6</v>
      </c>
      <c r="W267" s="11" t="s">
        <v>1815</v>
      </c>
      <c r="X267" s="11">
        <f>Augmented_Data!$Z267-Augmented_Data!$AA267</f>
        <v>67</v>
      </c>
      <c r="Y267" s="11">
        <f>Augmented_Data!$N267*Augmented_Data!$O267</f>
        <v>62.099999999999994</v>
      </c>
      <c r="Z267" s="11">
        <f>Augmented_Data!$Y267+Augmented_Data!$T267</f>
        <v>129.1</v>
      </c>
      <c r="AA267" s="13">
        <f>IF(Augmented_Data!Q267="0 delivery charge",Augmented_Data!Z267-Augmented_Data!T267,Augmented_Data!Z267*(1-Augmented_Data!Q267))</f>
        <v>62.099999999999994</v>
      </c>
    </row>
    <row r="268" spans="1:27" x14ac:dyDescent="0.3">
      <c r="A268" s="14" t="s">
        <v>35</v>
      </c>
      <c r="B268" s="14" t="str">
        <f>_xlfn.CONCAT(Augmented_Data!$C268," ",Augmented_Data!$D268)</f>
        <v>Mallory Mitchell</v>
      </c>
      <c r="C268" s="14" t="s">
        <v>135</v>
      </c>
      <c r="D268" s="14" t="s">
        <v>162</v>
      </c>
      <c r="E268" s="14">
        <v>42</v>
      </c>
      <c r="F268" s="14" t="s">
        <v>289</v>
      </c>
      <c r="G268" s="14" t="s">
        <v>297</v>
      </c>
      <c r="H268" s="14" t="s">
        <v>316</v>
      </c>
      <c r="I268" s="14" t="s">
        <v>416</v>
      </c>
      <c r="J268" s="14" t="s">
        <v>765</v>
      </c>
      <c r="K268" s="15">
        <v>45541</v>
      </c>
      <c r="L268" s="14" t="s">
        <v>1265</v>
      </c>
      <c r="M268" s="14" t="s">
        <v>1533</v>
      </c>
      <c r="N268" s="14">
        <v>136.30000000000001</v>
      </c>
      <c r="O268" s="14">
        <v>2</v>
      </c>
      <c r="P268" s="14" t="s">
        <v>1550</v>
      </c>
      <c r="Q268" s="14" t="str">
        <f>_xlfn.IFS(Augmented_Data!$P268="FLAT8","8%",Augmented_Data!$P268="FLAT10","10%",Augmented_Data!$P268="FLAT15","15%",Augmented_Data!$P268="FLAT20","20%",Augmented_Data!$P268="DEL0","0 delivery charge")</f>
        <v>20%</v>
      </c>
      <c r="R268" s="14">
        <v>2</v>
      </c>
      <c r="S268" s="14" t="str">
        <f>_xlfn.IFS(Augmented_Data!U268-Augmented_Data!K268=Augmented_Data!$R268,"Intime",Augmented_Data!U268-Augmented_Data!K268&lt;Augmented_Data!R268,"Before Time",Augmented_Data!U268-Augmented_Data!K268&gt;Augmented_Data!R268,"Late")</f>
        <v>Late</v>
      </c>
      <c r="T268" s="14">
        <v>45</v>
      </c>
      <c r="U268" s="15">
        <v>45546</v>
      </c>
      <c r="V268" s="14">
        <f>DATEDIF(Augmented_Data!$K268,Augmented_Data!$U268,"D")</f>
        <v>5</v>
      </c>
      <c r="W268" s="14" t="s">
        <v>1816</v>
      </c>
      <c r="X268" s="14">
        <f>Augmented_Data!$Z268-Augmented_Data!$AA268</f>
        <v>63.519999999999982</v>
      </c>
      <c r="Y268" s="14">
        <f>Augmented_Data!$N268*Augmented_Data!$O268</f>
        <v>272.60000000000002</v>
      </c>
      <c r="Z268" s="14">
        <f>Augmented_Data!$Y268+Augmented_Data!$T268</f>
        <v>317.60000000000002</v>
      </c>
      <c r="AA268" s="16">
        <f>IF(Augmented_Data!Q268="0 delivery charge",Augmented_Data!Z268-Augmented_Data!T268,Augmented_Data!Z268*(1-Augmented_Data!Q268))</f>
        <v>254.08000000000004</v>
      </c>
    </row>
    <row r="269" spans="1:27" x14ac:dyDescent="0.3">
      <c r="A269" s="11" t="s">
        <v>86</v>
      </c>
      <c r="B269" s="11" t="str">
        <f>_xlfn.CONCAT(Augmented_Data!$C269," ",Augmented_Data!$D269)</f>
        <v>Gregory Lee</v>
      </c>
      <c r="C269" s="11" t="s">
        <v>176</v>
      </c>
      <c r="D269" s="11" t="s">
        <v>263</v>
      </c>
      <c r="E269" s="11">
        <v>26</v>
      </c>
      <c r="F269" s="11" t="s">
        <v>290</v>
      </c>
      <c r="G269" s="11" t="s">
        <v>295</v>
      </c>
      <c r="H269" s="11" t="s">
        <v>367</v>
      </c>
      <c r="I269" s="11" t="s">
        <v>467</v>
      </c>
      <c r="J269" s="11" t="s">
        <v>766</v>
      </c>
      <c r="K269" s="12">
        <v>45389</v>
      </c>
      <c r="L269" s="11" t="s">
        <v>1266</v>
      </c>
      <c r="M269" s="11" t="s">
        <v>1521</v>
      </c>
      <c r="N269" s="11">
        <v>110.95</v>
      </c>
      <c r="O269" s="11">
        <v>2</v>
      </c>
      <c r="P269" s="11" t="s">
        <v>1550</v>
      </c>
      <c r="Q269" s="11" t="str">
        <f>_xlfn.IFS(Augmented_Data!$P269="FLAT8","8%",Augmented_Data!$P269="FLAT10","10%",Augmented_Data!$P269="FLAT15","15%",Augmented_Data!$P269="FLAT20","20%",Augmented_Data!$P269="DEL0","0 delivery charge")</f>
        <v>20%</v>
      </c>
      <c r="R269" s="11">
        <v>3</v>
      </c>
      <c r="S269" s="11" t="str">
        <f>_xlfn.IFS(Augmented_Data!U269-Augmented_Data!K269=Augmented_Data!$R269,"Intime",Augmented_Data!U269-Augmented_Data!K269&lt;Augmented_Data!R269,"Before Time",Augmented_Data!U269-Augmented_Data!K269&gt;Augmented_Data!R269,"Late")</f>
        <v>Late</v>
      </c>
      <c r="T269" s="11">
        <v>36</v>
      </c>
      <c r="U269" s="12">
        <v>45394</v>
      </c>
      <c r="V269" s="11">
        <f>DATEDIF(Augmented_Data!$K269,Augmented_Data!$U269,"D")</f>
        <v>5</v>
      </c>
      <c r="W269" s="11" t="s">
        <v>1817</v>
      </c>
      <c r="X269" s="11">
        <f>Augmented_Data!$Z269-Augmented_Data!$AA269</f>
        <v>51.579999999999984</v>
      </c>
      <c r="Y269" s="11">
        <f>Augmented_Data!$N269*Augmented_Data!$O269</f>
        <v>221.9</v>
      </c>
      <c r="Z269" s="11">
        <f>Augmented_Data!$Y269+Augmented_Data!$T269</f>
        <v>257.89999999999998</v>
      </c>
      <c r="AA269" s="13">
        <f>IF(Augmented_Data!Q269="0 delivery charge",Augmented_Data!Z269-Augmented_Data!T269,Augmented_Data!Z269*(1-Augmented_Data!Q269))</f>
        <v>206.32</v>
      </c>
    </row>
    <row r="270" spans="1:27" x14ac:dyDescent="0.3">
      <c r="A270" s="14" t="s">
        <v>40</v>
      </c>
      <c r="B270" s="14" t="str">
        <f>_xlfn.CONCAT(Augmented_Data!$C270," ",Augmented_Data!$D270)</f>
        <v>John Herrera</v>
      </c>
      <c r="C270" s="14" t="s">
        <v>121</v>
      </c>
      <c r="D270" s="14" t="s">
        <v>221</v>
      </c>
      <c r="E270" s="14">
        <v>64</v>
      </c>
      <c r="F270" s="14" t="s">
        <v>289</v>
      </c>
      <c r="G270" s="14" t="s">
        <v>292</v>
      </c>
      <c r="H270" s="14" t="s">
        <v>321</v>
      </c>
      <c r="I270" s="14" t="s">
        <v>421</v>
      </c>
      <c r="J270" s="14" t="s">
        <v>767</v>
      </c>
      <c r="K270" s="15">
        <v>45351</v>
      </c>
      <c r="L270" s="14" t="s">
        <v>1267</v>
      </c>
      <c r="M270" s="14" t="s">
        <v>1506</v>
      </c>
      <c r="N270" s="14">
        <v>372.62</v>
      </c>
      <c r="O270" s="14">
        <v>3</v>
      </c>
      <c r="P270" s="14" t="s">
        <v>1547</v>
      </c>
      <c r="Q270" s="14" t="str">
        <f>_xlfn.IFS(Augmented_Data!$P270="FLAT8","8%",Augmented_Data!$P270="FLAT10","10%",Augmented_Data!$P270="FLAT15","15%",Augmented_Data!$P270="FLAT20","20%",Augmented_Data!$P270="DEL0","0 delivery charge")</f>
        <v>0 delivery charge</v>
      </c>
      <c r="R270" s="14">
        <v>5</v>
      </c>
      <c r="S270" s="14" t="str">
        <f>_xlfn.IFS(Augmented_Data!U270-Augmented_Data!K270=Augmented_Data!$R270,"Intime",Augmented_Data!U270-Augmented_Data!K270&lt;Augmented_Data!R270,"Before Time",Augmented_Data!U270-Augmented_Data!K270&gt;Augmented_Data!R270,"Late")</f>
        <v>Before Time</v>
      </c>
      <c r="T270" s="14">
        <v>54</v>
      </c>
      <c r="U270" s="15">
        <v>45352</v>
      </c>
      <c r="V270" s="14">
        <f>DATEDIF(Augmented_Data!$K270,Augmented_Data!$U270,"D")</f>
        <v>1</v>
      </c>
      <c r="W270" s="14" t="s">
        <v>1818</v>
      </c>
      <c r="X270" s="14">
        <f>Augmented_Data!$Z270-Augmented_Data!$AA270</f>
        <v>54</v>
      </c>
      <c r="Y270" s="14">
        <f>Augmented_Data!$N270*Augmented_Data!$O270</f>
        <v>1117.8600000000001</v>
      </c>
      <c r="Z270" s="14">
        <f>Augmented_Data!$Y270+Augmented_Data!$T270</f>
        <v>1171.8600000000001</v>
      </c>
      <c r="AA270" s="16">
        <f>IF(Augmented_Data!Q270="0 delivery charge",Augmented_Data!Z270-Augmented_Data!T270,Augmented_Data!Z270*(1-Augmented_Data!Q270))</f>
        <v>1117.8600000000001</v>
      </c>
    </row>
    <row r="271" spans="1:27" x14ac:dyDescent="0.3">
      <c r="A271" s="11" t="s">
        <v>108</v>
      </c>
      <c r="B271" s="11" t="str">
        <f>_xlfn.CONCAT(Augmented_Data!$C271," ",Augmented_Data!$D271)</f>
        <v>Megan Hunt</v>
      </c>
      <c r="C271" s="11" t="s">
        <v>193</v>
      </c>
      <c r="D271" s="11" t="s">
        <v>282</v>
      </c>
      <c r="E271" s="11">
        <v>63</v>
      </c>
      <c r="F271" s="11" t="s">
        <v>288</v>
      </c>
      <c r="G271" s="11" t="s">
        <v>297</v>
      </c>
      <c r="H271" s="11" t="s">
        <v>389</v>
      </c>
      <c r="I271" s="11" t="s">
        <v>489</v>
      </c>
      <c r="J271" s="11" t="s">
        <v>768</v>
      </c>
      <c r="K271" s="12">
        <v>45083</v>
      </c>
      <c r="L271" s="11" t="s">
        <v>1268</v>
      </c>
      <c r="M271" s="11" t="s">
        <v>1524</v>
      </c>
      <c r="N271" s="11">
        <v>157.63999999999999</v>
      </c>
      <c r="O271" s="11">
        <v>2</v>
      </c>
      <c r="P271" s="11" t="s">
        <v>2047</v>
      </c>
      <c r="Q271" s="11" t="str">
        <f>_xlfn.IFS(Augmented_Data!$P271="FLAT8","8%",Augmented_Data!$P271="FLAT10","10%",Augmented_Data!$P271="FLAT15","15%",Augmented_Data!$P271="FLAT20","20%",Augmented_Data!$P271="DEL0","0 delivery charge")</f>
        <v>8%</v>
      </c>
      <c r="R271" s="11">
        <v>4</v>
      </c>
      <c r="S271" s="11" t="str">
        <f>_xlfn.IFS(Augmented_Data!U271-Augmented_Data!K271=Augmented_Data!$R271,"Intime",Augmented_Data!U271-Augmented_Data!K271&lt;Augmented_Data!R271,"Before Time",Augmented_Data!U271-Augmented_Data!K271&gt;Augmented_Data!R271,"Late")</f>
        <v>Late</v>
      </c>
      <c r="T271" s="11">
        <v>61</v>
      </c>
      <c r="U271" s="12">
        <v>45090</v>
      </c>
      <c r="V271" s="11">
        <f>DATEDIF(Augmented_Data!$K271,Augmented_Data!$U271,"D")</f>
        <v>7</v>
      </c>
      <c r="W271" s="11" t="s">
        <v>1819</v>
      </c>
      <c r="X271" s="11">
        <f>Augmented_Data!$Z271-Augmented_Data!$AA271</f>
        <v>30.102399999999989</v>
      </c>
      <c r="Y271" s="11">
        <f>Augmented_Data!$N271*Augmented_Data!$O271</f>
        <v>315.27999999999997</v>
      </c>
      <c r="Z271" s="11">
        <f>Augmented_Data!$Y271+Augmented_Data!$T271</f>
        <v>376.28</v>
      </c>
      <c r="AA271" s="13">
        <f>IF(Augmented_Data!Q271="0 delivery charge",Augmented_Data!Z271-Augmented_Data!T271,Augmented_Data!Z271*(1-Augmented_Data!Q271))</f>
        <v>346.17759999999998</v>
      </c>
    </row>
    <row r="272" spans="1:27" x14ac:dyDescent="0.3">
      <c r="A272" s="14" t="s">
        <v>43</v>
      </c>
      <c r="B272" s="14" t="str">
        <f>_xlfn.CONCAT(Augmented_Data!$C272," ",Augmented_Data!$D272)</f>
        <v>Jessica Ruiz</v>
      </c>
      <c r="C272" s="14" t="s">
        <v>141</v>
      </c>
      <c r="D272" s="14" t="s">
        <v>224</v>
      </c>
      <c r="E272" s="14">
        <v>19</v>
      </c>
      <c r="F272" s="14" t="s">
        <v>289</v>
      </c>
      <c r="G272" s="14" t="s">
        <v>295</v>
      </c>
      <c r="H272" s="14" t="s">
        <v>324</v>
      </c>
      <c r="I272" s="14" t="s">
        <v>424</v>
      </c>
      <c r="J272" s="14" t="s">
        <v>615</v>
      </c>
      <c r="K272" s="15">
        <v>44997</v>
      </c>
      <c r="L272" s="14" t="s">
        <v>1115</v>
      </c>
      <c r="M272" s="14" t="s">
        <v>1509</v>
      </c>
      <c r="N272" s="14">
        <v>190.1</v>
      </c>
      <c r="O272" s="14">
        <v>3</v>
      </c>
      <c r="P272" s="14" t="s">
        <v>2047</v>
      </c>
      <c r="Q272" s="14" t="str">
        <f>_xlfn.IFS(Augmented_Data!$P272="FLAT8","8%",Augmented_Data!$P272="FLAT10","10%",Augmented_Data!$P272="FLAT15","15%",Augmented_Data!$P272="FLAT20","20%",Augmented_Data!$P272="DEL0","0 delivery charge")</f>
        <v>8%</v>
      </c>
      <c r="R272" s="14">
        <v>4</v>
      </c>
      <c r="S272" s="14" t="str">
        <f>_xlfn.IFS(Augmented_Data!U272-Augmented_Data!K272=Augmented_Data!$R272,"Intime",Augmented_Data!U272-Augmented_Data!K272&lt;Augmented_Data!R272,"Before Time",Augmented_Data!U272-Augmented_Data!K272&gt;Augmented_Data!R272,"Late")</f>
        <v>Late</v>
      </c>
      <c r="T272" s="14">
        <v>63</v>
      </c>
      <c r="U272" s="15">
        <v>45002</v>
      </c>
      <c r="V272" s="14">
        <f>DATEDIF(Augmented_Data!$K272,Augmented_Data!$U272,"D")</f>
        <v>5</v>
      </c>
      <c r="W272" s="14" t="s">
        <v>1667</v>
      </c>
      <c r="X272" s="14">
        <f>Augmented_Data!$Z272-Augmented_Data!$AA272</f>
        <v>50.663999999999987</v>
      </c>
      <c r="Y272" s="14">
        <f>Augmented_Data!$N272*Augmented_Data!$O272</f>
        <v>570.29999999999995</v>
      </c>
      <c r="Z272" s="14">
        <f>Augmented_Data!$Y272+Augmented_Data!$T272</f>
        <v>633.29999999999995</v>
      </c>
      <c r="AA272" s="16">
        <f>IF(Augmented_Data!Q272="0 delivery charge",Augmented_Data!Z272-Augmented_Data!T272,Augmented_Data!Z272*(1-Augmented_Data!Q272))</f>
        <v>582.63599999999997</v>
      </c>
    </row>
    <row r="273" spans="1:27" x14ac:dyDescent="0.3">
      <c r="A273" s="11" t="s">
        <v>109</v>
      </c>
      <c r="B273" s="11" t="str">
        <f>_xlfn.CONCAT(Augmented_Data!$C273," ",Augmented_Data!$D273)</f>
        <v>Jared Horn</v>
      </c>
      <c r="C273" s="11" t="s">
        <v>194</v>
      </c>
      <c r="D273" s="11" t="s">
        <v>283</v>
      </c>
      <c r="E273" s="11">
        <v>43</v>
      </c>
      <c r="F273" s="11" t="s">
        <v>288</v>
      </c>
      <c r="G273" s="11" t="s">
        <v>294</v>
      </c>
      <c r="H273" s="11" t="s">
        <v>390</v>
      </c>
      <c r="I273" s="11" t="s">
        <v>490</v>
      </c>
      <c r="J273" s="11" t="s">
        <v>770</v>
      </c>
      <c r="K273" s="12">
        <v>45428</v>
      </c>
      <c r="L273" s="11" t="s">
        <v>1270</v>
      </c>
      <c r="M273" s="11" t="s">
        <v>1544</v>
      </c>
      <c r="N273" s="11">
        <v>107.47</v>
      </c>
      <c r="O273" s="11">
        <v>1</v>
      </c>
      <c r="P273" s="11" t="s">
        <v>2047</v>
      </c>
      <c r="Q273" s="11" t="str">
        <f>_xlfn.IFS(Augmented_Data!$P273="FLAT8","8%",Augmented_Data!$P273="FLAT10","10%",Augmented_Data!$P273="FLAT15","15%",Augmented_Data!$P273="FLAT20","20%",Augmented_Data!$P273="DEL0","0 delivery charge")</f>
        <v>8%</v>
      </c>
      <c r="R273" s="11">
        <v>4</v>
      </c>
      <c r="S273" s="11" t="str">
        <f>_xlfn.IFS(Augmented_Data!U273-Augmented_Data!K273=Augmented_Data!$R273,"Intime",Augmented_Data!U273-Augmented_Data!K273&lt;Augmented_Data!R273,"Before Time",Augmented_Data!U273-Augmented_Data!K273&gt;Augmented_Data!R273,"Late")</f>
        <v>Before Time</v>
      </c>
      <c r="T273" s="11">
        <v>36</v>
      </c>
      <c r="U273" s="12">
        <v>45430</v>
      </c>
      <c r="V273" s="11">
        <f>DATEDIF(Augmented_Data!$K273,Augmented_Data!$U273,"D")</f>
        <v>2</v>
      </c>
      <c r="W273" s="11" t="s">
        <v>1821</v>
      </c>
      <c r="X273" s="11">
        <f>Augmented_Data!$Z273-Augmented_Data!$AA273</f>
        <v>11.477599999999995</v>
      </c>
      <c r="Y273" s="11">
        <f>Augmented_Data!$N273*Augmented_Data!$O273</f>
        <v>107.47</v>
      </c>
      <c r="Z273" s="11">
        <f>Augmented_Data!$Y273+Augmented_Data!$T273</f>
        <v>143.47</v>
      </c>
      <c r="AA273" s="13">
        <f>IF(Augmented_Data!Q273="0 delivery charge",Augmented_Data!Z273-Augmented_Data!T273,Augmented_Data!Z273*(1-Augmented_Data!Q273))</f>
        <v>131.9924</v>
      </c>
    </row>
    <row r="274" spans="1:27" x14ac:dyDescent="0.3">
      <c r="A274" s="14" t="s">
        <v>57</v>
      </c>
      <c r="B274" s="14" t="str">
        <f>_xlfn.CONCAT(Augmented_Data!$C274," ",Augmented_Data!$D274)</f>
        <v>Aaron Thompson</v>
      </c>
      <c r="C274" s="14" t="s">
        <v>155</v>
      </c>
      <c r="D274" s="14" t="s">
        <v>238</v>
      </c>
      <c r="E274" s="14">
        <v>47</v>
      </c>
      <c r="F274" s="14" t="s">
        <v>289</v>
      </c>
      <c r="G274" s="14" t="s">
        <v>296</v>
      </c>
      <c r="H274" s="14" t="s">
        <v>338</v>
      </c>
      <c r="I274" s="14" t="s">
        <v>438</v>
      </c>
      <c r="J274" s="14" t="s">
        <v>771</v>
      </c>
      <c r="K274" s="15">
        <v>45012</v>
      </c>
      <c r="L274" s="14" t="s">
        <v>1271</v>
      </c>
      <c r="M274" s="14" t="s">
        <v>1508</v>
      </c>
      <c r="N274" s="14">
        <v>175.93</v>
      </c>
      <c r="O274" s="14">
        <v>3</v>
      </c>
      <c r="P274" s="14" t="s">
        <v>1547</v>
      </c>
      <c r="Q274" s="14" t="str">
        <f>_xlfn.IFS(Augmented_Data!$P274="FLAT8","8%",Augmented_Data!$P274="FLAT10","10%",Augmented_Data!$P274="FLAT15","15%",Augmented_Data!$P274="FLAT20","20%",Augmented_Data!$P274="DEL0","0 delivery charge")</f>
        <v>0 delivery charge</v>
      </c>
      <c r="R274" s="14">
        <v>3</v>
      </c>
      <c r="S274" s="14" t="str">
        <f>_xlfn.IFS(Augmented_Data!U274-Augmented_Data!K274=Augmented_Data!$R274,"Intime",Augmented_Data!U274-Augmented_Data!K274&lt;Augmented_Data!R274,"Before Time",Augmented_Data!U274-Augmented_Data!K274&gt;Augmented_Data!R274,"Late")</f>
        <v>Late</v>
      </c>
      <c r="T274" s="14">
        <v>58</v>
      </c>
      <c r="U274" s="15">
        <v>45017</v>
      </c>
      <c r="V274" s="14">
        <f>DATEDIF(Augmented_Data!$K274,Augmented_Data!$U274,"D")</f>
        <v>5</v>
      </c>
      <c r="W274" s="14" t="s">
        <v>1822</v>
      </c>
      <c r="X274" s="14">
        <f>Augmented_Data!$Z274-Augmented_Data!$AA274</f>
        <v>58</v>
      </c>
      <c r="Y274" s="14">
        <f>Augmented_Data!$N274*Augmented_Data!$O274</f>
        <v>527.79</v>
      </c>
      <c r="Z274" s="14">
        <f>Augmented_Data!$Y274+Augmented_Data!$T274</f>
        <v>585.79</v>
      </c>
      <c r="AA274" s="16">
        <f>IF(Augmented_Data!Q274="0 delivery charge",Augmented_Data!Z274-Augmented_Data!T274,Augmented_Data!Z274*(1-Augmented_Data!Q274))</f>
        <v>527.79</v>
      </c>
    </row>
    <row r="275" spans="1:27" x14ac:dyDescent="0.3">
      <c r="A275" s="11" t="s">
        <v>110</v>
      </c>
      <c r="B275" s="11" t="str">
        <f>_xlfn.CONCAT(Augmented_Data!$C275," ",Augmented_Data!$D275)</f>
        <v>Brendan Kelly</v>
      </c>
      <c r="C275" s="11" t="s">
        <v>195</v>
      </c>
      <c r="D275" s="11" t="s">
        <v>200</v>
      </c>
      <c r="E275" s="11">
        <v>50</v>
      </c>
      <c r="F275" s="11" t="s">
        <v>290</v>
      </c>
      <c r="G275" s="11" t="s">
        <v>297</v>
      </c>
      <c r="H275" s="11" t="s">
        <v>391</v>
      </c>
      <c r="I275" s="11" t="s">
        <v>491</v>
      </c>
      <c r="J275" s="11" t="s">
        <v>811</v>
      </c>
      <c r="K275" s="12">
        <v>45481</v>
      </c>
      <c r="L275" s="11" t="s">
        <v>1311</v>
      </c>
      <c r="M275" s="11" t="s">
        <v>1540</v>
      </c>
      <c r="N275" s="11">
        <v>424.82</v>
      </c>
      <c r="O275" s="11">
        <v>3</v>
      </c>
      <c r="P275" s="11" t="s">
        <v>1547</v>
      </c>
      <c r="Q275" s="11" t="str">
        <f>_xlfn.IFS(Augmented_Data!$P275="FLAT8","8%",Augmented_Data!$P275="FLAT10","10%",Augmented_Data!$P275="FLAT15","15%",Augmented_Data!$P275="FLAT20","20%",Augmented_Data!$P275="DEL0","0 delivery charge")</f>
        <v>0 delivery charge</v>
      </c>
      <c r="R275" s="11">
        <v>3</v>
      </c>
      <c r="S275" s="11" t="str">
        <f>_xlfn.IFS(Augmented_Data!U275-Augmented_Data!K275=Augmented_Data!$R275,"Intime",Augmented_Data!U275-Augmented_Data!K275&lt;Augmented_Data!R275,"Before Time",Augmented_Data!U275-Augmented_Data!K275&gt;Augmented_Data!R275,"Late")</f>
        <v>Before Time</v>
      </c>
      <c r="T275" s="11">
        <v>42</v>
      </c>
      <c r="U275" s="12">
        <v>45482</v>
      </c>
      <c r="V275" s="11">
        <f>DATEDIF(Augmented_Data!$K275,Augmented_Data!$U275,"D")</f>
        <v>1</v>
      </c>
      <c r="W275" s="11" t="s">
        <v>1862</v>
      </c>
      <c r="X275" s="11">
        <f>Augmented_Data!$Z275-Augmented_Data!$AA275</f>
        <v>42</v>
      </c>
      <c r="Y275" s="11">
        <f>Augmented_Data!$N275*Augmented_Data!$O275</f>
        <v>1274.46</v>
      </c>
      <c r="Z275" s="11">
        <f>Augmented_Data!$Y275+Augmented_Data!$T275</f>
        <v>1316.46</v>
      </c>
      <c r="AA275" s="13">
        <f>IF(Augmented_Data!Q275="0 delivery charge",Augmented_Data!Z275-Augmented_Data!T275,Augmented_Data!Z275*(1-Augmented_Data!Q275))</f>
        <v>1274.46</v>
      </c>
    </row>
    <row r="276" spans="1:27" x14ac:dyDescent="0.3">
      <c r="A276" s="14" t="s">
        <v>111</v>
      </c>
      <c r="B276" s="14" t="str">
        <f>_xlfn.CONCAT(Augmented_Data!$C276," ",Augmented_Data!$D276)</f>
        <v>Veronica Lopez</v>
      </c>
      <c r="C276" s="14" t="s">
        <v>196</v>
      </c>
      <c r="D276" s="14" t="s">
        <v>239</v>
      </c>
      <c r="E276" s="14">
        <v>18</v>
      </c>
      <c r="F276" s="14" t="s">
        <v>289</v>
      </c>
      <c r="G276" s="14" t="s">
        <v>298</v>
      </c>
      <c r="H276" s="14" t="s">
        <v>392</v>
      </c>
      <c r="I276" s="14" t="s">
        <v>492</v>
      </c>
      <c r="J276" s="14" t="s">
        <v>773</v>
      </c>
      <c r="K276" s="15">
        <v>45332</v>
      </c>
      <c r="L276" s="14" t="s">
        <v>1273</v>
      </c>
      <c r="M276" s="14" t="s">
        <v>1525</v>
      </c>
      <c r="N276" s="14">
        <v>481.48</v>
      </c>
      <c r="O276" s="14">
        <v>4</v>
      </c>
      <c r="P276" s="14" t="s">
        <v>1547</v>
      </c>
      <c r="Q276" s="14" t="str">
        <f>_xlfn.IFS(Augmented_Data!$P276="FLAT8","8%",Augmented_Data!$P276="FLAT10","10%",Augmented_Data!$P276="FLAT15","15%",Augmented_Data!$P276="FLAT20","20%",Augmented_Data!$P276="DEL0","0 delivery charge")</f>
        <v>0 delivery charge</v>
      </c>
      <c r="R276" s="14">
        <v>2</v>
      </c>
      <c r="S276" s="14" t="str">
        <f>_xlfn.IFS(Augmented_Data!U276-Augmented_Data!K276=Augmented_Data!$R276,"Intime",Augmented_Data!U276-Augmented_Data!K276&lt;Augmented_Data!R276,"Before Time",Augmented_Data!U276-Augmented_Data!K276&gt;Augmented_Data!R276,"Late")</f>
        <v>Late</v>
      </c>
      <c r="T276" s="14">
        <v>61</v>
      </c>
      <c r="U276" s="15">
        <v>45338</v>
      </c>
      <c r="V276" s="14">
        <f>DATEDIF(Augmented_Data!$K276,Augmented_Data!$U276,"D")</f>
        <v>6</v>
      </c>
      <c r="W276" s="14" t="s">
        <v>1824</v>
      </c>
      <c r="X276" s="14">
        <f>Augmented_Data!$Z276-Augmented_Data!$AA276</f>
        <v>61</v>
      </c>
      <c r="Y276" s="14">
        <f>Augmented_Data!$N276*Augmented_Data!$O276</f>
        <v>1925.92</v>
      </c>
      <c r="Z276" s="14">
        <f>Augmented_Data!$Y276+Augmented_Data!$T276</f>
        <v>1986.92</v>
      </c>
      <c r="AA276" s="16">
        <f>IF(Augmented_Data!Q276="0 delivery charge",Augmented_Data!Z276-Augmented_Data!T276,Augmented_Data!Z276*(1-Augmented_Data!Q276))</f>
        <v>1925.92</v>
      </c>
    </row>
    <row r="277" spans="1:27" x14ac:dyDescent="0.3">
      <c r="A277" s="11" t="s">
        <v>110</v>
      </c>
      <c r="B277" s="11" t="str">
        <f>_xlfn.CONCAT(Augmented_Data!$C277," ",Augmented_Data!$D277)</f>
        <v>Brendan Kelly</v>
      </c>
      <c r="C277" s="11" t="s">
        <v>195</v>
      </c>
      <c r="D277" s="11" t="s">
        <v>200</v>
      </c>
      <c r="E277" s="11">
        <v>50</v>
      </c>
      <c r="F277" s="11" t="s">
        <v>290</v>
      </c>
      <c r="G277" s="11" t="s">
        <v>297</v>
      </c>
      <c r="H277" s="11" t="s">
        <v>391</v>
      </c>
      <c r="I277" s="11" t="s">
        <v>491</v>
      </c>
      <c r="J277" s="11" t="s">
        <v>831</v>
      </c>
      <c r="K277" s="12">
        <v>45599</v>
      </c>
      <c r="L277" s="11" t="s">
        <v>1331</v>
      </c>
      <c r="M277" s="11" t="s">
        <v>1512</v>
      </c>
      <c r="N277" s="11">
        <v>104.18</v>
      </c>
      <c r="O277" s="11">
        <v>1</v>
      </c>
      <c r="P277" s="11" t="s">
        <v>2047</v>
      </c>
      <c r="Q277" s="11" t="str">
        <f>_xlfn.IFS(Augmented_Data!$P277="FLAT8","8%",Augmented_Data!$P277="FLAT10","10%",Augmented_Data!$P277="FLAT15","15%",Augmented_Data!$P277="FLAT20","20%",Augmented_Data!$P277="DEL0","0 delivery charge")</f>
        <v>8%</v>
      </c>
      <c r="R277" s="11">
        <v>1</v>
      </c>
      <c r="S277" s="11" t="str">
        <f>_xlfn.IFS(Augmented_Data!U277-Augmented_Data!K277=Augmented_Data!$R277,"Intime",Augmented_Data!U277-Augmented_Data!K277&lt;Augmented_Data!R277,"Before Time",Augmented_Data!U277-Augmented_Data!K277&gt;Augmented_Data!R277,"Late")</f>
        <v>Late</v>
      </c>
      <c r="T277" s="11">
        <v>48</v>
      </c>
      <c r="U277" s="12">
        <v>45603</v>
      </c>
      <c r="V277" s="11">
        <f>DATEDIF(Augmented_Data!$K277,Augmented_Data!$U277,"D")</f>
        <v>4</v>
      </c>
      <c r="W277" s="11" t="s">
        <v>1882</v>
      </c>
      <c r="X277" s="11">
        <f>Augmented_Data!$Z277-Augmented_Data!$AA277</f>
        <v>12.174399999999991</v>
      </c>
      <c r="Y277" s="11">
        <f>Augmented_Data!$N277*Augmented_Data!$O277</f>
        <v>104.18</v>
      </c>
      <c r="Z277" s="11">
        <f>Augmented_Data!$Y277+Augmented_Data!$T277</f>
        <v>152.18</v>
      </c>
      <c r="AA277" s="13">
        <f>IF(Augmented_Data!Q277="0 delivery charge",Augmented_Data!Z277-Augmented_Data!T277,Augmented_Data!Z277*(1-Augmented_Data!Q277))</f>
        <v>140.00560000000002</v>
      </c>
    </row>
    <row r="278" spans="1:27" x14ac:dyDescent="0.3">
      <c r="A278" s="14" t="s">
        <v>112</v>
      </c>
      <c r="B278" s="14" t="str">
        <f>_xlfn.CONCAT(Augmented_Data!$C278," ",Augmented_Data!$D278)</f>
        <v>Sarah Benson</v>
      </c>
      <c r="C278" s="14" t="s">
        <v>164</v>
      </c>
      <c r="D278" s="14" t="s">
        <v>284</v>
      </c>
      <c r="E278" s="14">
        <v>40</v>
      </c>
      <c r="F278" s="14" t="s">
        <v>290</v>
      </c>
      <c r="G278" s="14" t="s">
        <v>298</v>
      </c>
      <c r="H278" s="14" t="s">
        <v>393</v>
      </c>
      <c r="I278" s="14" t="s">
        <v>493</v>
      </c>
      <c r="J278" s="14" t="s">
        <v>775</v>
      </c>
      <c r="K278" s="15">
        <v>45422</v>
      </c>
      <c r="L278" s="14" t="s">
        <v>1275</v>
      </c>
      <c r="M278" s="14" t="s">
        <v>1534</v>
      </c>
      <c r="N278" s="14">
        <v>425.59</v>
      </c>
      <c r="O278" s="14">
        <v>2</v>
      </c>
      <c r="P278" s="14" t="s">
        <v>2047</v>
      </c>
      <c r="Q278" s="14" t="str">
        <f>_xlfn.IFS(Augmented_Data!$P278="FLAT8","8%",Augmented_Data!$P278="FLAT10","10%",Augmented_Data!$P278="FLAT15","15%",Augmented_Data!$P278="FLAT20","20%",Augmented_Data!$P278="DEL0","0 delivery charge")</f>
        <v>8%</v>
      </c>
      <c r="R278" s="14">
        <v>3</v>
      </c>
      <c r="S278" s="14" t="str">
        <f>_xlfn.IFS(Augmented_Data!U278-Augmented_Data!K278=Augmented_Data!$R278,"Intime",Augmented_Data!U278-Augmented_Data!K278&lt;Augmented_Data!R278,"Before Time",Augmented_Data!U278-Augmented_Data!K278&gt;Augmented_Data!R278,"Late")</f>
        <v>Before Time</v>
      </c>
      <c r="T278" s="14">
        <v>47</v>
      </c>
      <c r="U278" s="15">
        <v>45423</v>
      </c>
      <c r="V278" s="14">
        <f>DATEDIF(Augmented_Data!$K278,Augmented_Data!$U278,"D")</f>
        <v>1</v>
      </c>
      <c r="W278" s="14" t="s">
        <v>1826</v>
      </c>
      <c r="X278" s="14">
        <f>Augmented_Data!$Z278-Augmented_Data!$AA278</f>
        <v>71.854399999999941</v>
      </c>
      <c r="Y278" s="14">
        <f>Augmented_Data!$N278*Augmented_Data!$O278</f>
        <v>851.18</v>
      </c>
      <c r="Z278" s="14">
        <f>Augmented_Data!$Y278+Augmented_Data!$T278</f>
        <v>898.18</v>
      </c>
      <c r="AA278" s="16">
        <f>IF(Augmented_Data!Q278="0 delivery charge",Augmented_Data!Z278-Augmented_Data!T278,Augmented_Data!Z278*(1-Augmented_Data!Q278))</f>
        <v>826.32560000000001</v>
      </c>
    </row>
    <row r="279" spans="1:27" x14ac:dyDescent="0.3">
      <c r="A279" s="11" t="s">
        <v>43</v>
      </c>
      <c r="B279" s="11" t="str">
        <f>_xlfn.CONCAT(Augmented_Data!$C279," ",Augmented_Data!$D279)</f>
        <v>Jessica Ruiz</v>
      </c>
      <c r="C279" s="11" t="s">
        <v>141</v>
      </c>
      <c r="D279" s="11" t="s">
        <v>224</v>
      </c>
      <c r="E279" s="11">
        <v>19</v>
      </c>
      <c r="F279" s="11" t="s">
        <v>289</v>
      </c>
      <c r="G279" s="11" t="s">
        <v>295</v>
      </c>
      <c r="H279" s="11" t="s">
        <v>324</v>
      </c>
      <c r="I279" s="11" t="s">
        <v>424</v>
      </c>
      <c r="J279" s="11" t="s">
        <v>661</v>
      </c>
      <c r="K279" s="12">
        <v>45017</v>
      </c>
      <c r="L279" s="11" t="s">
        <v>1161</v>
      </c>
      <c r="M279" s="11" t="s">
        <v>1514</v>
      </c>
      <c r="N279" s="11">
        <v>461.07</v>
      </c>
      <c r="O279" s="11">
        <v>4</v>
      </c>
      <c r="P279" s="11" t="s">
        <v>1547</v>
      </c>
      <c r="Q279" s="11" t="str">
        <f>_xlfn.IFS(Augmented_Data!$P279="FLAT8","8%",Augmented_Data!$P279="FLAT10","10%",Augmented_Data!$P279="FLAT15","15%",Augmented_Data!$P279="FLAT20","20%",Augmented_Data!$P279="DEL0","0 delivery charge")</f>
        <v>0 delivery charge</v>
      </c>
      <c r="R279" s="11">
        <v>6</v>
      </c>
      <c r="S279" s="11" t="str">
        <f>_xlfn.IFS(Augmented_Data!U279-Augmented_Data!K279=Augmented_Data!$R279,"Intime",Augmented_Data!U279-Augmented_Data!K279&lt;Augmented_Data!R279,"Before Time",Augmented_Data!U279-Augmented_Data!K279&gt;Augmented_Data!R279,"Late")</f>
        <v>Before Time</v>
      </c>
      <c r="T279" s="11">
        <v>46</v>
      </c>
      <c r="U279" s="12">
        <v>45022</v>
      </c>
      <c r="V279" s="11">
        <f>DATEDIF(Augmented_Data!$K279,Augmented_Data!$U279,"D")</f>
        <v>5</v>
      </c>
      <c r="W279" s="11" t="s">
        <v>1713</v>
      </c>
      <c r="X279" s="11">
        <f>Augmented_Data!$Z279-Augmented_Data!$AA279</f>
        <v>46</v>
      </c>
      <c r="Y279" s="11">
        <f>Augmented_Data!$N279*Augmented_Data!$O279</f>
        <v>1844.28</v>
      </c>
      <c r="Z279" s="11">
        <f>Augmented_Data!$Y279+Augmented_Data!$T279</f>
        <v>1890.28</v>
      </c>
      <c r="AA279" s="13">
        <f>IF(Augmented_Data!Q279="0 delivery charge",Augmented_Data!Z279-Augmented_Data!T279,Augmented_Data!Z279*(1-Augmented_Data!Q279))</f>
        <v>1844.28</v>
      </c>
    </row>
    <row r="280" spans="1:27" x14ac:dyDescent="0.3">
      <c r="A280" s="14" t="s">
        <v>31</v>
      </c>
      <c r="B280" s="14" t="str">
        <f>_xlfn.CONCAT(Augmented_Data!$C280," ",Augmented_Data!$D280)</f>
        <v>Amy Reid</v>
      </c>
      <c r="C280" s="14" t="s">
        <v>131</v>
      </c>
      <c r="D280" s="14" t="s">
        <v>213</v>
      </c>
      <c r="E280" s="14">
        <v>44</v>
      </c>
      <c r="F280" s="14" t="s">
        <v>289</v>
      </c>
      <c r="G280" s="14" t="s">
        <v>296</v>
      </c>
      <c r="H280" s="14" t="s">
        <v>312</v>
      </c>
      <c r="I280" s="14" t="s">
        <v>412</v>
      </c>
      <c r="J280" s="14" t="s">
        <v>777</v>
      </c>
      <c r="K280" s="15">
        <v>45422</v>
      </c>
      <c r="L280" s="14" t="s">
        <v>1277</v>
      </c>
      <c r="M280" s="14" t="s">
        <v>1520</v>
      </c>
      <c r="N280" s="14">
        <v>62.42</v>
      </c>
      <c r="O280" s="14">
        <v>4</v>
      </c>
      <c r="P280" s="14" t="s">
        <v>1548</v>
      </c>
      <c r="Q280" s="14" t="str">
        <f>_xlfn.IFS(Augmented_Data!$P280="FLAT8","8%",Augmented_Data!$P280="FLAT10","10%",Augmented_Data!$P280="FLAT15","15%",Augmented_Data!$P280="FLAT20","20%",Augmented_Data!$P280="DEL0","0 delivery charge")</f>
        <v>15%</v>
      </c>
      <c r="R280" s="14">
        <v>1</v>
      </c>
      <c r="S280" s="14" t="str">
        <f>_xlfn.IFS(Augmented_Data!U280-Augmented_Data!K280=Augmented_Data!$R280,"Intime",Augmented_Data!U280-Augmented_Data!K280&lt;Augmented_Data!R280,"Before Time",Augmented_Data!U280-Augmented_Data!K280&gt;Augmented_Data!R280,"Late")</f>
        <v>Late</v>
      </c>
      <c r="T280" s="14">
        <v>67</v>
      </c>
      <c r="U280" s="15">
        <v>45426</v>
      </c>
      <c r="V280" s="14">
        <f>DATEDIF(Augmented_Data!$K280,Augmented_Data!$U280,"D")</f>
        <v>4</v>
      </c>
      <c r="W280" s="14" t="s">
        <v>1828</v>
      </c>
      <c r="X280" s="14">
        <f>Augmented_Data!$Z280-Augmented_Data!$AA280</f>
        <v>47.50200000000001</v>
      </c>
      <c r="Y280" s="14">
        <f>Augmented_Data!$N280*Augmented_Data!$O280</f>
        <v>249.68</v>
      </c>
      <c r="Z280" s="14">
        <f>Augmented_Data!$Y280+Augmented_Data!$T280</f>
        <v>316.68</v>
      </c>
      <c r="AA280" s="16">
        <f>IF(Augmented_Data!Q280="0 delivery charge",Augmented_Data!Z280-Augmented_Data!T280,Augmented_Data!Z280*(1-Augmented_Data!Q280))</f>
        <v>269.178</v>
      </c>
    </row>
    <row r="281" spans="1:27" x14ac:dyDescent="0.3">
      <c r="A281" s="11" t="s">
        <v>19</v>
      </c>
      <c r="B281" s="11" t="str">
        <f>_xlfn.CONCAT(Augmented_Data!$C281," ",Augmented_Data!$D281)</f>
        <v>Anthony Thomas</v>
      </c>
      <c r="C281" s="11" t="s">
        <v>119</v>
      </c>
      <c r="D281" s="11" t="s">
        <v>154</v>
      </c>
      <c r="E281" s="11">
        <v>53</v>
      </c>
      <c r="F281" s="11" t="s">
        <v>289</v>
      </c>
      <c r="G281" s="11" t="s">
        <v>292</v>
      </c>
      <c r="H281" s="11" t="s">
        <v>300</v>
      </c>
      <c r="I281" s="11" t="s">
        <v>400</v>
      </c>
      <c r="J281" s="11" t="s">
        <v>778</v>
      </c>
      <c r="K281" s="12">
        <v>45186</v>
      </c>
      <c r="L281" s="11" t="s">
        <v>1278</v>
      </c>
      <c r="M281" s="11" t="s">
        <v>1507</v>
      </c>
      <c r="N281" s="11">
        <v>257.06</v>
      </c>
      <c r="O281" s="11">
        <v>1</v>
      </c>
      <c r="P281" s="11" t="s">
        <v>1550</v>
      </c>
      <c r="Q281" s="11" t="str">
        <f>_xlfn.IFS(Augmented_Data!$P281="FLAT8","8%",Augmented_Data!$P281="FLAT10","10%",Augmented_Data!$P281="FLAT15","15%",Augmented_Data!$P281="FLAT20","20%",Augmented_Data!$P281="DEL0","0 delivery charge")</f>
        <v>20%</v>
      </c>
      <c r="R281" s="11">
        <v>5</v>
      </c>
      <c r="S281" s="11" t="str">
        <f>_xlfn.IFS(Augmented_Data!U281-Augmented_Data!K281=Augmented_Data!$R281,"Intime",Augmented_Data!U281-Augmented_Data!K281&lt;Augmented_Data!R281,"Before Time",Augmented_Data!U281-Augmented_Data!K281&gt;Augmented_Data!R281,"Late")</f>
        <v>Before Time</v>
      </c>
      <c r="T281" s="11">
        <v>64</v>
      </c>
      <c r="U281" s="12">
        <v>45188</v>
      </c>
      <c r="V281" s="11">
        <f>DATEDIF(Augmented_Data!$K281,Augmented_Data!$U281,"D")</f>
        <v>2</v>
      </c>
      <c r="W281" s="11" t="s">
        <v>1829</v>
      </c>
      <c r="X281" s="11">
        <f>Augmented_Data!$Z281-Augmented_Data!$AA281</f>
        <v>64.211999999999989</v>
      </c>
      <c r="Y281" s="11">
        <f>Augmented_Data!$N281*Augmented_Data!$O281</f>
        <v>257.06</v>
      </c>
      <c r="Z281" s="11">
        <f>Augmented_Data!$Y281+Augmented_Data!$T281</f>
        <v>321.06</v>
      </c>
      <c r="AA281" s="13">
        <f>IF(Augmented_Data!Q281="0 delivery charge",Augmented_Data!Z281-Augmented_Data!T281,Augmented_Data!Z281*(1-Augmented_Data!Q281))</f>
        <v>256.84800000000001</v>
      </c>
    </row>
    <row r="282" spans="1:27" x14ac:dyDescent="0.3">
      <c r="A282" s="14" t="s">
        <v>74</v>
      </c>
      <c r="B282" s="14" t="str">
        <f>_xlfn.CONCAT(Augmented_Data!$C282," ",Augmented_Data!$D282)</f>
        <v>Jodi Whitney</v>
      </c>
      <c r="C282" s="14" t="s">
        <v>167</v>
      </c>
      <c r="D282" s="14" t="s">
        <v>252</v>
      </c>
      <c r="E282" s="14">
        <v>33</v>
      </c>
      <c r="F282" s="14" t="s">
        <v>290</v>
      </c>
      <c r="G282" s="14" t="s">
        <v>297</v>
      </c>
      <c r="H282" s="14" t="s">
        <v>355</v>
      </c>
      <c r="I282" s="14" t="s">
        <v>455</v>
      </c>
      <c r="J282" s="14" t="s">
        <v>779</v>
      </c>
      <c r="K282" s="15">
        <v>45677</v>
      </c>
      <c r="L282" s="14" t="s">
        <v>1279</v>
      </c>
      <c r="M282" s="14" t="s">
        <v>1511</v>
      </c>
      <c r="N282" s="14">
        <v>272.51</v>
      </c>
      <c r="O282" s="14">
        <v>4</v>
      </c>
      <c r="P282" s="14" t="s">
        <v>1550</v>
      </c>
      <c r="Q282" s="14" t="str">
        <f>_xlfn.IFS(Augmented_Data!$P282="FLAT8","8%",Augmented_Data!$P282="FLAT10","10%",Augmented_Data!$P282="FLAT15","15%",Augmented_Data!$P282="FLAT20","20%",Augmented_Data!$P282="DEL0","0 delivery charge")</f>
        <v>20%</v>
      </c>
      <c r="R282" s="14">
        <v>6</v>
      </c>
      <c r="S282" s="14" t="str">
        <f>_xlfn.IFS(Augmented_Data!U282-Augmented_Data!K282=Augmented_Data!$R282,"Intime",Augmented_Data!U282-Augmented_Data!K282&lt;Augmented_Data!R282,"Before Time",Augmented_Data!U282-Augmented_Data!K282&gt;Augmented_Data!R282,"Late")</f>
        <v>Before Time</v>
      </c>
      <c r="T282" s="14">
        <v>39</v>
      </c>
      <c r="U282" s="15">
        <v>45679</v>
      </c>
      <c r="V282" s="14">
        <f>DATEDIF(Augmented_Data!$K282,Augmented_Data!$U282,"D")</f>
        <v>2</v>
      </c>
      <c r="W282" s="14" t="s">
        <v>1830</v>
      </c>
      <c r="X282" s="14">
        <f>Augmented_Data!$Z282-Augmented_Data!$AA282</f>
        <v>225.80799999999999</v>
      </c>
      <c r="Y282" s="14">
        <f>Augmented_Data!$N282*Augmented_Data!$O282</f>
        <v>1090.04</v>
      </c>
      <c r="Z282" s="14">
        <f>Augmented_Data!$Y282+Augmented_Data!$T282</f>
        <v>1129.04</v>
      </c>
      <c r="AA282" s="16">
        <f>IF(Augmented_Data!Q282="0 delivery charge",Augmented_Data!Z282-Augmented_Data!T282,Augmented_Data!Z282*(1-Augmented_Data!Q282))</f>
        <v>903.23199999999997</v>
      </c>
    </row>
    <row r="283" spans="1:27" x14ac:dyDescent="0.3">
      <c r="A283" s="11" t="s">
        <v>41</v>
      </c>
      <c r="B283" s="11" t="str">
        <f>_xlfn.CONCAT(Augmented_Data!$C283," ",Augmented_Data!$D283)</f>
        <v>Angela Evans</v>
      </c>
      <c r="C283" s="11" t="s">
        <v>122</v>
      </c>
      <c r="D283" s="11" t="s">
        <v>222</v>
      </c>
      <c r="E283" s="11">
        <v>52</v>
      </c>
      <c r="F283" s="11" t="s">
        <v>290</v>
      </c>
      <c r="G283" s="11" t="s">
        <v>292</v>
      </c>
      <c r="H283" s="11" t="s">
        <v>322</v>
      </c>
      <c r="I283" s="11" t="s">
        <v>422</v>
      </c>
      <c r="J283" s="11" t="s">
        <v>780</v>
      </c>
      <c r="K283" s="12">
        <v>45242</v>
      </c>
      <c r="L283" s="11" t="s">
        <v>1280</v>
      </c>
      <c r="M283" s="11" t="s">
        <v>1536</v>
      </c>
      <c r="N283" s="11">
        <v>403.03</v>
      </c>
      <c r="O283" s="11">
        <v>2</v>
      </c>
      <c r="P283" s="11" t="s">
        <v>2047</v>
      </c>
      <c r="Q283" s="11" t="str">
        <f>_xlfn.IFS(Augmented_Data!$P283="FLAT8","8%",Augmented_Data!$P283="FLAT10","10%",Augmented_Data!$P283="FLAT15","15%",Augmented_Data!$P283="FLAT20","20%",Augmented_Data!$P283="DEL0","0 delivery charge")</f>
        <v>8%</v>
      </c>
      <c r="R283" s="11">
        <v>4</v>
      </c>
      <c r="S283" s="11" t="str">
        <f>_xlfn.IFS(Augmented_Data!U283-Augmented_Data!K283=Augmented_Data!$R283,"Intime",Augmented_Data!U283-Augmented_Data!K283&lt;Augmented_Data!R283,"Before Time",Augmented_Data!U283-Augmented_Data!K283&gt;Augmented_Data!R283,"Late")</f>
        <v>Intime</v>
      </c>
      <c r="T283" s="11">
        <v>70</v>
      </c>
      <c r="U283" s="12">
        <v>45246</v>
      </c>
      <c r="V283" s="11">
        <f>DATEDIF(Augmented_Data!$K283,Augmented_Data!$U283,"D")</f>
        <v>4</v>
      </c>
      <c r="W283" s="11" t="s">
        <v>1831</v>
      </c>
      <c r="X283" s="11">
        <f>Augmented_Data!$Z283-Augmented_Data!$AA283</f>
        <v>70.084799999999973</v>
      </c>
      <c r="Y283" s="11">
        <f>Augmented_Data!$N283*Augmented_Data!$O283</f>
        <v>806.06</v>
      </c>
      <c r="Z283" s="11">
        <f>Augmented_Data!$Y283+Augmented_Data!$T283</f>
        <v>876.06</v>
      </c>
      <c r="AA283" s="13">
        <f>IF(Augmented_Data!Q283="0 delivery charge",Augmented_Data!Z283-Augmented_Data!T283,Augmented_Data!Z283*(1-Augmented_Data!Q283))</f>
        <v>805.97519999999997</v>
      </c>
    </row>
    <row r="284" spans="1:27" x14ac:dyDescent="0.3">
      <c r="A284" s="14" t="s">
        <v>43</v>
      </c>
      <c r="B284" s="14" t="str">
        <f>_xlfn.CONCAT(Augmented_Data!$C284," ",Augmented_Data!$D284)</f>
        <v>Jessica Ruiz</v>
      </c>
      <c r="C284" s="14" t="s">
        <v>141</v>
      </c>
      <c r="D284" s="14" t="s">
        <v>224</v>
      </c>
      <c r="E284" s="14">
        <v>19</v>
      </c>
      <c r="F284" s="14" t="s">
        <v>289</v>
      </c>
      <c r="G284" s="14" t="s">
        <v>295</v>
      </c>
      <c r="H284" s="14" t="s">
        <v>324</v>
      </c>
      <c r="I284" s="14" t="s">
        <v>424</v>
      </c>
      <c r="J284" s="14" t="s">
        <v>803</v>
      </c>
      <c r="K284" s="15">
        <v>45201</v>
      </c>
      <c r="L284" s="14" t="s">
        <v>1303</v>
      </c>
      <c r="M284" s="14" t="s">
        <v>1514</v>
      </c>
      <c r="N284" s="14">
        <v>461.07</v>
      </c>
      <c r="O284" s="14">
        <v>3</v>
      </c>
      <c r="P284" s="14" t="s">
        <v>1549</v>
      </c>
      <c r="Q284" s="14" t="str">
        <f>_xlfn.IFS(Augmented_Data!$P284="FLAT8","8%",Augmented_Data!$P284="FLAT10","10%",Augmented_Data!$P284="FLAT15","15%",Augmented_Data!$P284="FLAT20","20%",Augmented_Data!$P284="DEL0","0 delivery charge")</f>
        <v>10%</v>
      </c>
      <c r="R284" s="14">
        <v>1</v>
      </c>
      <c r="S284" s="14" t="str">
        <f>_xlfn.IFS(Augmented_Data!U284-Augmented_Data!K284=Augmented_Data!$R284,"Intime",Augmented_Data!U284-Augmented_Data!K284&lt;Augmented_Data!R284,"Before Time",Augmented_Data!U284-Augmented_Data!K284&gt;Augmented_Data!R284,"Late")</f>
        <v>Intime</v>
      </c>
      <c r="T284" s="14">
        <v>61</v>
      </c>
      <c r="U284" s="15">
        <v>45202</v>
      </c>
      <c r="V284" s="14">
        <f>DATEDIF(Augmented_Data!$K284,Augmented_Data!$U284,"D")</f>
        <v>1</v>
      </c>
      <c r="W284" s="14" t="s">
        <v>1854</v>
      </c>
      <c r="X284" s="14">
        <f>Augmented_Data!$Z284-Augmented_Data!$AA284</f>
        <v>144.42100000000005</v>
      </c>
      <c r="Y284" s="14">
        <f>Augmented_Data!$N284*Augmented_Data!$O284</f>
        <v>1383.21</v>
      </c>
      <c r="Z284" s="14">
        <f>Augmented_Data!$Y284+Augmented_Data!$T284</f>
        <v>1444.21</v>
      </c>
      <c r="AA284" s="16">
        <f>IF(Augmented_Data!Q284="0 delivery charge",Augmented_Data!Z284-Augmented_Data!T284,Augmented_Data!Z284*(1-Augmented_Data!Q284))</f>
        <v>1299.789</v>
      </c>
    </row>
    <row r="285" spans="1:27" x14ac:dyDescent="0.3">
      <c r="A285" s="11" t="s">
        <v>110</v>
      </c>
      <c r="B285" s="11" t="str">
        <f>_xlfn.CONCAT(Augmented_Data!$C285," ",Augmented_Data!$D285)</f>
        <v>Brendan Kelly</v>
      </c>
      <c r="C285" s="11" t="s">
        <v>195</v>
      </c>
      <c r="D285" s="11" t="s">
        <v>200</v>
      </c>
      <c r="E285" s="11">
        <v>50</v>
      </c>
      <c r="F285" s="11" t="s">
        <v>290</v>
      </c>
      <c r="G285" s="11" t="s">
        <v>297</v>
      </c>
      <c r="H285" s="11" t="s">
        <v>391</v>
      </c>
      <c r="I285" s="11" t="s">
        <v>491</v>
      </c>
      <c r="J285" s="11" t="s">
        <v>878</v>
      </c>
      <c r="K285" s="12">
        <v>45522</v>
      </c>
      <c r="L285" s="11" t="s">
        <v>1378</v>
      </c>
      <c r="M285" s="11" t="s">
        <v>1499</v>
      </c>
      <c r="N285" s="11">
        <v>441.03</v>
      </c>
      <c r="O285" s="11">
        <v>3</v>
      </c>
      <c r="P285" s="11" t="s">
        <v>1550</v>
      </c>
      <c r="Q285" s="11" t="str">
        <f>_xlfn.IFS(Augmented_Data!$P285="FLAT8","8%",Augmented_Data!$P285="FLAT10","10%",Augmented_Data!$P285="FLAT15","15%",Augmented_Data!$P285="FLAT20","20%",Augmented_Data!$P285="DEL0","0 delivery charge")</f>
        <v>20%</v>
      </c>
      <c r="R285" s="11">
        <v>4</v>
      </c>
      <c r="S285" s="11" t="str">
        <f>_xlfn.IFS(Augmented_Data!U285-Augmented_Data!K285=Augmented_Data!$R285,"Intime",Augmented_Data!U285-Augmented_Data!K285&lt;Augmented_Data!R285,"Before Time",Augmented_Data!U285-Augmented_Data!K285&gt;Augmented_Data!R285,"Late")</f>
        <v>Late</v>
      </c>
      <c r="T285" s="11">
        <v>40</v>
      </c>
      <c r="U285" s="12">
        <v>45528</v>
      </c>
      <c r="V285" s="11">
        <f>DATEDIF(Augmented_Data!$K285,Augmented_Data!$U285,"D")</f>
        <v>6</v>
      </c>
      <c r="W285" s="11" t="s">
        <v>1929</v>
      </c>
      <c r="X285" s="11">
        <f>Augmented_Data!$Z285-Augmented_Data!$AA285</f>
        <v>272.61799999999994</v>
      </c>
      <c r="Y285" s="11">
        <f>Augmented_Data!$N285*Augmented_Data!$O285</f>
        <v>1323.09</v>
      </c>
      <c r="Z285" s="11">
        <f>Augmented_Data!$Y285+Augmented_Data!$T285</f>
        <v>1363.09</v>
      </c>
      <c r="AA285" s="13">
        <f>IF(Augmented_Data!Q285="0 delivery charge",Augmented_Data!Z285-Augmented_Data!T285,Augmented_Data!Z285*(1-Augmented_Data!Q285))</f>
        <v>1090.472</v>
      </c>
    </row>
    <row r="286" spans="1:27" x14ac:dyDescent="0.3">
      <c r="A286" s="14" t="s">
        <v>30</v>
      </c>
      <c r="B286" s="14" t="str">
        <f>_xlfn.CONCAT(Augmented_Data!$C286," ",Augmented_Data!$D286)</f>
        <v>Kara Brennan</v>
      </c>
      <c r="C286" s="14" t="s">
        <v>130</v>
      </c>
      <c r="D286" s="14" t="s">
        <v>212</v>
      </c>
      <c r="E286" s="14">
        <v>25</v>
      </c>
      <c r="F286" s="14" t="s">
        <v>290</v>
      </c>
      <c r="G286" s="14" t="s">
        <v>294</v>
      </c>
      <c r="H286" s="14" t="s">
        <v>311</v>
      </c>
      <c r="I286" s="14" t="s">
        <v>411</v>
      </c>
      <c r="J286" s="14" t="s">
        <v>783</v>
      </c>
      <c r="K286" s="15">
        <v>45090</v>
      </c>
      <c r="L286" s="14" t="s">
        <v>1283</v>
      </c>
      <c r="M286" s="14" t="s">
        <v>1508</v>
      </c>
      <c r="N286" s="14">
        <v>175.93</v>
      </c>
      <c r="O286" s="14">
        <v>4</v>
      </c>
      <c r="P286" s="14" t="s">
        <v>1550</v>
      </c>
      <c r="Q286" s="14" t="str">
        <f>_xlfn.IFS(Augmented_Data!$P286="FLAT8","8%",Augmented_Data!$P286="FLAT10","10%",Augmented_Data!$P286="FLAT15","15%",Augmented_Data!$P286="FLAT20","20%",Augmented_Data!$P286="DEL0","0 delivery charge")</f>
        <v>20%</v>
      </c>
      <c r="R286" s="14">
        <v>6</v>
      </c>
      <c r="S286" s="14" t="str">
        <f>_xlfn.IFS(Augmented_Data!U286-Augmented_Data!K286=Augmented_Data!$R286,"Intime",Augmented_Data!U286-Augmented_Data!K286&lt;Augmented_Data!R286,"Before Time",Augmented_Data!U286-Augmented_Data!K286&gt;Augmented_Data!R286,"Late")</f>
        <v>Late</v>
      </c>
      <c r="T286" s="14">
        <v>45</v>
      </c>
      <c r="U286" s="15">
        <v>45097</v>
      </c>
      <c r="V286" s="14">
        <f>DATEDIF(Augmented_Data!$K286,Augmented_Data!$U286,"D")</f>
        <v>7</v>
      </c>
      <c r="W286" s="14" t="s">
        <v>1834</v>
      </c>
      <c r="X286" s="14">
        <f>Augmented_Data!$Z286-Augmented_Data!$AA286</f>
        <v>149.74400000000003</v>
      </c>
      <c r="Y286" s="14">
        <f>Augmented_Data!$N286*Augmented_Data!$O286</f>
        <v>703.72</v>
      </c>
      <c r="Z286" s="14">
        <f>Augmented_Data!$Y286+Augmented_Data!$T286</f>
        <v>748.72</v>
      </c>
      <c r="AA286" s="16">
        <f>IF(Augmented_Data!Q286="0 delivery charge",Augmented_Data!Z286-Augmented_Data!T286,Augmented_Data!Z286*(1-Augmented_Data!Q286))</f>
        <v>598.976</v>
      </c>
    </row>
    <row r="287" spans="1:27" x14ac:dyDescent="0.3">
      <c r="A287" s="11" t="s">
        <v>43</v>
      </c>
      <c r="B287" s="11" t="str">
        <f>_xlfn.CONCAT(Augmented_Data!$C287," ",Augmented_Data!$D287)</f>
        <v>Jessica Ruiz</v>
      </c>
      <c r="C287" s="11" t="s">
        <v>141</v>
      </c>
      <c r="D287" s="11" t="s">
        <v>224</v>
      </c>
      <c r="E287" s="11">
        <v>19</v>
      </c>
      <c r="F287" s="11" t="s">
        <v>289</v>
      </c>
      <c r="G287" s="11" t="s">
        <v>295</v>
      </c>
      <c r="H287" s="11" t="s">
        <v>324</v>
      </c>
      <c r="I287" s="11" t="s">
        <v>424</v>
      </c>
      <c r="J287" s="11" t="s">
        <v>812</v>
      </c>
      <c r="K287" s="12">
        <v>45049</v>
      </c>
      <c r="L287" s="11" t="s">
        <v>1312</v>
      </c>
      <c r="M287" s="11" t="s">
        <v>1530</v>
      </c>
      <c r="N287" s="11">
        <v>369.03</v>
      </c>
      <c r="O287" s="11">
        <v>3</v>
      </c>
      <c r="P287" s="11" t="s">
        <v>2047</v>
      </c>
      <c r="Q287" s="11" t="str">
        <f>_xlfn.IFS(Augmented_Data!$P287="FLAT8","8%",Augmented_Data!$P287="FLAT10","10%",Augmented_Data!$P287="FLAT15","15%",Augmented_Data!$P287="FLAT20","20%",Augmented_Data!$P287="DEL0","0 delivery charge")</f>
        <v>8%</v>
      </c>
      <c r="R287" s="11">
        <v>6</v>
      </c>
      <c r="S287" s="11" t="str">
        <f>_xlfn.IFS(Augmented_Data!U287-Augmented_Data!K287=Augmented_Data!$R287,"Intime",Augmented_Data!U287-Augmented_Data!K287&lt;Augmented_Data!R287,"Before Time",Augmented_Data!U287-Augmented_Data!K287&gt;Augmented_Data!R287,"Late")</f>
        <v>Before Time</v>
      </c>
      <c r="T287" s="11">
        <v>50</v>
      </c>
      <c r="U287" s="12">
        <v>45052</v>
      </c>
      <c r="V287" s="11">
        <f>DATEDIF(Augmented_Data!$K287,Augmented_Data!$U287,"D")</f>
        <v>3</v>
      </c>
      <c r="W287" s="11" t="s">
        <v>1863</v>
      </c>
      <c r="X287" s="11">
        <f>Augmented_Data!$Z287-Augmented_Data!$AA287</f>
        <v>92.567199999999957</v>
      </c>
      <c r="Y287" s="11">
        <f>Augmented_Data!$N287*Augmented_Data!$O287</f>
        <v>1107.0899999999999</v>
      </c>
      <c r="Z287" s="11">
        <f>Augmented_Data!$Y287+Augmented_Data!$T287</f>
        <v>1157.0899999999999</v>
      </c>
      <c r="AA287" s="13">
        <f>IF(Augmented_Data!Q287="0 delivery charge",Augmented_Data!Z287-Augmented_Data!T287,Augmented_Data!Z287*(1-Augmented_Data!Q287))</f>
        <v>1064.5228</v>
      </c>
    </row>
    <row r="288" spans="1:27" x14ac:dyDescent="0.3">
      <c r="A288" s="14" t="s">
        <v>87</v>
      </c>
      <c r="B288" s="14" t="str">
        <f>_xlfn.CONCAT(Augmented_Data!$C288," ",Augmented_Data!$D288)</f>
        <v>Bruce Allen</v>
      </c>
      <c r="C288" s="14" t="s">
        <v>177</v>
      </c>
      <c r="D288" s="14" t="s">
        <v>264</v>
      </c>
      <c r="E288" s="14">
        <v>32</v>
      </c>
      <c r="F288" s="14" t="s">
        <v>289</v>
      </c>
      <c r="G288" s="14" t="s">
        <v>291</v>
      </c>
      <c r="H288" s="14" t="s">
        <v>368</v>
      </c>
      <c r="I288" s="14" t="s">
        <v>468</v>
      </c>
      <c r="J288" s="14" t="s">
        <v>785</v>
      </c>
      <c r="K288" s="15">
        <v>45676</v>
      </c>
      <c r="L288" s="14" t="s">
        <v>1285</v>
      </c>
      <c r="M288" s="14" t="s">
        <v>1525</v>
      </c>
      <c r="N288" s="14">
        <v>481.48</v>
      </c>
      <c r="O288" s="14">
        <v>2</v>
      </c>
      <c r="P288" s="14" t="s">
        <v>1550</v>
      </c>
      <c r="Q288" s="14" t="str">
        <f>_xlfn.IFS(Augmented_Data!$P288="FLAT8","8%",Augmented_Data!$P288="FLAT10","10%",Augmented_Data!$P288="FLAT15","15%",Augmented_Data!$P288="FLAT20","20%",Augmented_Data!$P288="DEL0","0 delivery charge")</f>
        <v>20%</v>
      </c>
      <c r="R288" s="14">
        <v>3</v>
      </c>
      <c r="S288" s="14" t="str">
        <f>_xlfn.IFS(Augmented_Data!U288-Augmented_Data!K288=Augmented_Data!$R288,"Intime",Augmented_Data!U288-Augmented_Data!K288&lt;Augmented_Data!R288,"Before Time",Augmented_Data!U288-Augmented_Data!K288&gt;Augmented_Data!R288,"Late")</f>
        <v>Late</v>
      </c>
      <c r="T288" s="14">
        <v>58</v>
      </c>
      <c r="U288" s="15">
        <v>45683</v>
      </c>
      <c r="V288" s="14">
        <f>DATEDIF(Augmented_Data!$K288,Augmented_Data!$U288,"D")</f>
        <v>7</v>
      </c>
      <c r="W288" s="14" t="s">
        <v>1836</v>
      </c>
      <c r="X288" s="14">
        <f>Augmented_Data!$Z288-Augmented_Data!$AA288</f>
        <v>204.19200000000001</v>
      </c>
      <c r="Y288" s="14">
        <f>Augmented_Data!$N288*Augmented_Data!$O288</f>
        <v>962.96</v>
      </c>
      <c r="Z288" s="14">
        <f>Augmented_Data!$Y288+Augmented_Data!$T288</f>
        <v>1020.96</v>
      </c>
      <c r="AA288" s="16">
        <f>IF(Augmented_Data!Q288="0 delivery charge",Augmented_Data!Z288-Augmented_Data!T288,Augmented_Data!Z288*(1-Augmented_Data!Q288))</f>
        <v>816.76800000000003</v>
      </c>
    </row>
    <row r="289" spans="1:27" x14ac:dyDescent="0.3">
      <c r="A289" s="11" t="s">
        <v>102</v>
      </c>
      <c r="B289" s="11" t="str">
        <f>_xlfn.CONCAT(Augmented_Data!$C289," ",Augmented_Data!$D289)</f>
        <v>Natasha Michael</v>
      </c>
      <c r="C289" s="11" t="s">
        <v>190</v>
      </c>
      <c r="D289" s="11" t="s">
        <v>276</v>
      </c>
      <c r="E289" s="11">
        <v>49</v>
      </c>
      <c r="F289" s="11" t="s">
        <v>288</v>
      </c>
      <c r="G289" s="11" t="s">
        <v>292</v>
      </c>
      <c r="H289" s="11" t="s">
        <v>383</v>
      </c>
      <c r="I289" s="11" t="s">
        <v>483</v>
      </c>
      <c r="J289" s="11" t="s">
        <v>786</v>
      </c>
      <c r="K289" s="12">
        <v>45092</v>
      </c>
      <c r="L289" s="11" t="s">
        <v>1286</v>
      </c>
      <c r="M289" s="11" t="s">
        <v>1534</v>
      </c>
      <c r="N289" s="11">
        <v>425.59</v>
      </c>
      <c r="O289" s="11">
        <v>3</v>
      </c>
      <c r="P289" s="11" t="s">
        <v>2047</v>
      </c>
      <c r="Q289" s="11" t="str">
        <f>_xlfn.IFS(Augmented_Data!$P289="FLAT8","8%",Augmented_Data!$P289="FLAT10","10%",Augmented_Data!$P289="FLAT15","15%",Augmented_Data!$P289="FLAT20","20%",Augmented_Data!$P289="DEL0","0 delivery charge")</f>
        <v>8%</v>
      </c>
      <c r="R289" s="11">
        <v>6</v>
      </c>
      <c r="S289" s="11" t="str">
        <f>_xlfn.IFS(Augmented_Data!U289-Augmented_Data!K289=Augmented_Data!$R289,"Intime",Augmented_Data!U289-Augmented_Data!K289&lt;Augmented_Data!R289,"Before Time",Augmented_Data!U289-Augmented_Data!K289&gt;Augmented_Data!R289,"Late")</f>
        <v>Late</v>
      </c>
      <c r="T289" s="11">
        <v>55</v>
      </c>
      <c r="U289" s="12">
        <v>45099</v>
      </c>
      <c r="V289" s="11">
        <f>DATEDIF(Augmented_Data!$K289,Augmented_Data!$U289,"D")</f>
        <v>7</v>
      </c>
      <c r="W289" s="11" t="s">
        <v>1837</v>
      </c>
      <c r="X289" s="11">
        <f>Augmented_Data!$Z289-Augmented_Data!$AA289</f>
        <v>106.54160000000002</v>
      </c>
      <c r="Y289" s="11">
        <f>Augmented_Data!$N289*Augmented_Data!$O289</f>
        <v>1276.77</v>
      </c>
      <c r="Z289" s="11">
        <f>Augmented_Data!$Y289+Augmented_Data!$T289</f>
        <v>1331.77</v>
      </c>
      <c r="AA289" s="13">
        <f>IF(Augmented_Data!Q289="0 delivery charge",Augmented_Data!Z289-Augmented_Data!T289,Augmented_Data!Z289*(1-Augmented_Data!Q289))</f>
        <v>1225.2284</v>
      </c>
    </row>
    <row r="290" spans="1:27" x14ac:dyDescent="0.3">
      <c r="A290" s="14" t="s">
        <v>52</v>
      </c>
      <c r="B290" s="14" t="str">
        <f>_xlfn.CONCAT(Augmented_Data!$C290," ",Augmented_Data!$D290)</f>
        <v>Julie Meyer</v>
      </c>
      <c r="C290" s="14" t="s">
        <v>150</v>
      </c>
      <c r="D290" s="14" t="s">
        <v>233</v>
      </c>
      <c r="E290" s="14">
        <v>23</v>
      </c>
      <c r="F290" s="14" t="s">
        <v>288</v>
      </c>
      <c r="G290" s="14" t="s">
        <v>291</v>
      </c>
      <c r="H290" s="14" t="s">
        <v>333</v>
      </c>
      <c r="I290" s="14" t="s">
        <v>433</v>
      </c>
      <c r="J290" s="14" t="s">
        <v>787</v>
      </c>
      <c r="K290" s="15">
        <v>45659</v>
      </c>
      <c r="L290" s="14" t="s">
        <v>1287</v>
      </c>
      <c r="M290" s="14" t="s">
        <v>1546</v>
      </c>
      <c r="N290" s="14">
        <v>33.49</v>
      </c>
      <c r="O290" s="14">
        <v>2</v>
      </c>
      <c r="P290" s="14" t="s">
        <v>2047</v>
      </c>
      <c r="Q290" s="14" t="str">
        <f>_xlfn.IFS(Augmented_Data!$P290="FLAT8","8%",Augmented_Data!$P290="FLAT10","10%",Augmented_Data!$P290="FLAT15","15%",Augmented_Data!$P290="FLAT20","20%",Augmented_Data!$P290="DEL0","0 delivery charge")</f>
        <v>8%</v>
      </c>
      <c r="R290" s="14">
        <v>2</v>
      </c>
      <c r="S290" s="14" t="str">
        <f>_xlfn.IFS(Augmented_Data!U290-Augmented_Data!K290=Augmented_Data!$R290,"Intime",Augmented_Data!U290-Augmented_Data!K290&lt;Augmented_Data!R290,"Before Time",Augmented_Data!U290-Augmented_Data!K290&gt;Augmented_Data!R290,"Late")</f>
        <v>Before Time</v>
      </c>
      <c r="T290" s="14">
        <v>45</v>
      </c>
      <c r="U290" s="15">
        <v>45660</v>
      </c>
      <c r="V290" s="14">
        <f>DATEDIF(Augmented_Data!$K290,Augmented_Data!$U290,"D")</f>
        <v>1</v>
      </c>
      <c r="W290" s="14" t="s">
        <v>1838</v>
      </c>
      <c r="X290" s="14">
        <f>Augmented_Data!$Z290-Augmented_Data!$AA290</f>
        <v>8.9583999999999975</v>
      </c>
      <c r="Y290" s="14">
        <f>Augmented_Data!$N290*Augmented_Data!$O290</f>
        <v>66.98</v>
      </c>
      <c r="Z290" s="14">
        <f>Augmented_Data!$Y290+Augmented_Data!$T290</f>
        <v>111.98</v>
      </c>
      <c r="AA290" s="16">
        <f>IF(Augmented_Data!Q290="0 delivery charge",Augmented_Data!Z290-Augmented_Data!T290,Augmented_Data!Z290*(1-Augmented_Data!Q290))</f>
        <v>103.02160000000001</v>
      </c>
    </row>
    <row r="291" spans="1:27" x14ac:dyDescent="0.3">
      <c r="A291" s="11" t="s">
        <v>68</v>
      </c>
      <c r="B291" s="11" t="str">
        <f>_xlfn.CONCAT(Augmented_Data!$C291," ",Augmented_Data!$D291)</f>
        <v>Mitchell Parker</v>
      </c>
      <c r="C291" s="11" t="s">
        <v>162</v>
      </c>
      <c r="D291" s="11" t="s">
        <v>232</v>
      </c>
      <c r="E291" s="11">
        <v>39</v>
      </c>
      <c r="F291" s="11" t="s">
        <v>290</v>
      </c>
      <c r="G291" s="11" t="s">
        <v>292</v>
      </c>
      <c r="H291" s="11" t="s">
        <v>349</v>
      </c>
      <c r="I291" s="11" t="s">
        <v>449</v>
      </c>
      <c r="J291" s="11" t="s">
        <v>788</v>
      </c>
      <c r="K291" s="12">
        <v>45024</v>
      </c>
      <c r="L291" s="11" t="s">
        <v>1288</v>
      </c>
      <c r="M291" s="11" t="s">
        <v>1526</v>
      </c>
      <c r="N291" s="11">
        <v>405</v>
      </c>
      <c r="O291" s="11">
        <v>4</v>
      </c>
      <c r="P291" s="11" t="s">
        <v>1549</v>
      </c>
      <c r="Q291" s="11" t="str">
        <f>_xlfn.IFS(Augmented_Data!$P291="FLAT8","8%",Augmented_Data!$P291="FLAT10","10%",Augmented_Data!$P291="FLAT15","15%",Augmented_Data!$P291="FLAT20","20%",Augmented_Data!$P291="DEL0","0 delivery charge")</f>
        <v>10%</v>
      </c>
      <c r="R291" s="11">
        <v>7</v>
      </c>
      <c r="S291" s="11" t="str">
        <f>_xlfn.IFS(Augmented_Data!U291-Augmented_Data!K291=Augmented_Data!$R291,"Intime",Augmented_Data!U291-Augmented_Data!K291&lt;Augmented_Data!R291,"Before Time",Augmented_Data!U291-Augmented_Data!K291&gt;Augmented_Data!R291,"Late")</f>
        <v>Before Time</v>
      </c>
      <c r="T291" s="11">
        <v>70</v>
      </c>
      <c r="U291" s="12">
        <v>45029</v>
      </c>
      <c r="V291" s="11">
        <f>DATEDIF(Augmented_Data!$K291,Augmented_Data!$U291,"D")</f>
        <v>5</v>
      </c>
      <c r="W291" s="11" t="s">
        <v>1839</v>
      </c>
      <c r="X291" s="11">
        <f>Augmented_Data!$Z291-Augmented_Data!$AA291</f>
        <v>169</v>
      </c>
      <c r="Y291" s="11">
        <f>Augmented_Data!$N291*Augmented_Data!$O291</f>
        <v>1620</v>
      </c>
      <c r="Z291" s="11">
        <f>Augmented_Data!$Y291+Augmented_Data!$T291</f>
        <v>1690</v>
      </c>
      <c r="AA291" s="13">
        <f>IF(Augmented_Data!Q291="0 delivery charge",Augmented_Data!Z291-Augmented_Data!T291,Augmented_Data!Z291*(1-Augmented_Data!Q291))</f>
        <v>1521</v>
      </c>
    </row>
    <row r="292" spans="1:27" x14ac:dyDescent="0.3">
      <c r="A292" s="14" t="s">
        <v>59</v>
      </c>
      <c r="B292" s="14" t="str">
        <f>_xlfn.CONCAT(Augmented_Data!$C292," ",Augmented_Data!$D292)</f>
        <v>Alexandra Smith</v>
      </c>
      <c r="C292" s="14" t="s">
        <v>156</v>
      </c>
      <c r="D292" s="14" t="s">
        <v>240</v>
      </c>
      <c r="E292" s="14">
        <v>70</v>
      </c>
      <c r="F292" s="14" t="s">
        <v>288</v>
      </c>
      <c r="G292" s="14" t="s">
        <v>291</v>
      </c>
      <c r="H292" s="14" t="s">
        <v>340</v>
      </c>
      <c r="I292" s="14" t="s">
        <v>440</v>
      </c>
      <c r="J292" s="14" t="s">
        <v>789</v>
      </c>
      <c r="K292" s="15">
        <v>45455</v>
      </c>
      <c r="L292" s="14" t="s">
        <v>1289</v>
      </c>
      <c r="M292" s="14" t="s">
        <v>1525</v>
      </c>
      <c r="N292" s="14">
        <v>481.48</v>
      </c>
      <c r="O292" s="14">
        <v>3</v>
      </c>
      <c r="P292" s="14" t="s">
        <v>1550</v>
      </c>
      <c r="Q292" s="14" t="str">
        <f>_xlfn.IFS(Augmented_Data!$P292="FLAT8","8%",Augmented_Data!$P292="FLAT10","10%",Augmented_Data!$P292="FLAT15","15%",Augmented_Data!$P292="FLAT20","20%",Augmented_Data!$P292="DEL0","0 delivery charge")</f>
        <v>20%</v>
      </c>
      <c r="R292" s="14">
        <v>5</v>
      </c>
      <c r="S292" s="14" t="str">
        <f>_xlfn.IFS(Augmented_Data!U292-Augmented_Data!K292=Augmented_Data!$R292,"Intime",Augmented_Data!U292-Augmented_Data!K292&lt;Augmented_Data!R292,"Before Time",Augmented_Data!U292-Augmented_Data!K292&gt;Augmented_Data!R292,"Late")</f>
        <v>Late</v>
      </c>
      <c r="T292" s="14">
        <v>49</v>
      </c>
      <c r="U292" s="15">
        <v>45462</v>
      </c>
      <c r="V292" s="14">
        <f>DATEDIF(Augmented_Data!$K292,Augmented_Data!$U292,"D")</f>
        <v>7</v>
      </c>
      <c r="W292" s="14" t="s">
        <v>1840</v>
      </c>
      <c r="X292" s="14">
        <f>Augmented_Data!$Z292-Augmented_Data!$AA292</f>
        <v>298.68799999999987</v>
      </c>
      <c r="Y292" s="14">
        <f>Augmented_Data!$N292*Augmented_Data!$O292</f>
        <v>1444.44</v>
      </c>
      <c r="Z292" s="14">
        <f>Augmented_Data!$Y292+Augmented_Data!$T292</f>
        <v>1493.44</v>
      </c>
      <c r="AA292" s="16">
        <f>IF(Augmented_Data!Q292="0 delivery charge",Augmented_Data!Z292-Augmented_Data!T292,Augmented_Data!Z292*(1-Augmented_Data!Q292))</f>
        <v>1194.7520000000002</v>
      </c>
    </row>
    <row r="293" spans="1:27" x14ac:dyDescent="0.3">
      <c r="A293" s="11" t="s">
        <v>58</v>
      </c>
      <c r="B293" s="11" t="str">
        <f>_xlfn.CONCAT(Augmented_Data!$C293," ",Augmented_Data!$D293)</f>
        <v>Jason Lopez</v>
      </c>
      <c r="C293" s="11" t="s">
        <v>140</v>
      </c>
      <c r="D293" s="11" t="s">
        <v>239</v>
      </c>
      <c r="E293" s="11">
        <v>40</v>
      </c>
      <c r="F293" s="11" t="s">
        <v>290</v>
      </c>
      <c r="G293" s="11" t="s">
        <v>297</v>
      </c>
      <c r="H293" s="11" t="s">
        <v>339</v>
      </c>
      <c r="I293" s="11" t="s">
        <v>439</v>
      </c>
      <c r="J293" s="11" t="s">
        <v>790</v>
      </c>
      <c r="K293" s="12">
        <v>45058</v>
      </c>
      <c r="L293" s="11" t="s">
        <v>1290</v>
      </c>
      <c r="M293" s="11" t="s">
        <v>1541</v>
      </c>
      <c r="N293" s="11">
        <v>133.62</v>
      </c>
      <c r="O293" s="11">
        <v>2</v>
      </c>
      <c r="P293" s="11" t="s">
        <v>1549</v>
      </c>
      <c r="Q293" s="11" t="str">
        <f>_xlfn.IFS(Augmented_Data!$P293="FLAT8","8%",Augmented_Data!$P293="FLAT10","10%",Augmented_Data!$P293="FLAT15","15%",Augmented_Data!$P293="FLAT20","20%",Augmented_Data!$P293="DEL0","0 delivery charge")</f>
        <v>10%</v>
      </c>
      <c r="R293" s="11">
        <v>4</v>
      </c>
      <c r="S293" s="11" t="str">
        <f>_xlfn.IFS(Augmented_Data!U293-Augmented_Data!K293=Augmented_Data!$R293,"Intime",Augmented_Data!U293-Augmented_Data!K293&lt;Augmented_Data!R293,"Before Time",Augmented_Data!U293-Augmented_Data!K293&gt;Augmented_Data!R293,"Late")</f>
        <v>Before Time</v>
      </c>
      <c r="T293" s="11">
        <v>36</v>
      </c>
      <c r="U293" s="12">
        <v>45059</v>
      </c>
      <c r="V293" s="11">
        <f>DATEDIF(Augmented_Data!$K293,Augmented_Data!$U293,"D")</f>
        <v>1</v>
      </c>
      <c r="W293" s="11" t="s">
        <v>1841</v>
      </c>
      <c r="X293" s="11">
        <f>Augmented_Data!$Z293-Augmented_Data!$AA293</f>
        <v>30.324000000000012</v>
      </c>
      <c r="Y293" s="11">
        <f>Augmented_Data!$N293*Augmented_Data!$O293</f>
        <v>267.24</v>
      </c>
      <c r="Z293" s="11">
        <f>Augmented_Data!$Y293+Augmented_Data!$T293</f>
        <v>303.24</v>
      </c>
      <c r="AA293" s="13">
        <f>IF(Augmented_Data!Q293="0 delivery charge",Augmented_Data!Z293-Augmented_Data!T293,Augmented_Data!Z293*(1-Augmented_Data!Q293))</f>
        <v>272.916</v>
      </c>
    </row>
    <row r="294" spans="1:27" x14ac:dyDescent="0.3">
      <c r="A294" s="14" t="s">
        <v>90</v>
      </c>
      <c r="B294" s="14" t="str">
        <f>_xlfn.CONCAT(Augmented_Data!$C294," ",Augmented_Data!$D294)</f>
        <v>Mark Summers</v>
      </c>
      <c r="C294" s="14" t="s">
        <v>139</v>
      </c>
      <c r="D294" s="14" t="s">
        <v>266</v>
      </c>
      <c r="E294" s="14">
        <v>55</v>
      </c>
      <c r="F294" s="14" t="s">
        <v>289</v>
      </c>
      <c r="G294" s="14" t="s">
        <v>293</v>
      </c>
      <c r="H294" s="14" t="s">
        <v>371</v>
      </c>
      <c r="I294" s="14" t="s">
        <v>471</v>
      </c>
      <c r="J294" s="14" t="s">
        <v>805</v>
      </c>
      <c r="K294" s="15">
        <v>45414</v>
      </c>
      <c r="L294" s="14" t="s">
        <v>1305</v>
      </c>
      <c r="M294" s="14" t="s">
        <v>1520</v>
      </c>
      <c r="N294" s="14">
        <v>62.42</v>
      </c>
      <c r="O294" s="14">
        <v>4</v>
      </c>
      <c r="P294" s="14" t="s">
        <v>1549</v>
      </c>
      <c r="Q294" s="14" t="str">
        <f>_xlfn.IFS(Augmented_Data!$P294="FLAT8","8%",Augmented_Data!$P294="FLAT10","10%",Augmented_Data!$P294="FLAT15","15%",Augmented_Data!$P294="FLAT20","20%",Augmented_Data!$P294="DEL0","0 delivery charge")</f>
        <v>10%</v>
      </c>
      <c r="R294" s="14">
        <v>6</v>
      </c>
      <c r="S294" s="14" t="str">
        <f>_xlfn.IFS(Augmented_Data!U294-Augmented_Data!K294=Augmented_Data!$R294,"Intime",Augmented_Data!U294-Augmented_Data!K294&lt;Augmented_Data!R294,"Before Time",Augmented_Data!U294-Augmented_Data!K294&gt;Augmented_Data!R294,"Late")</f>
        <v>Intime</v>
      </c>
      <c r="T294" s="14">
        <v>43</v>
      </c>
      <c r="U294" s="15">
        <v>45420</v>
      </c>
      <c r="V294" s="14">
        <f>DATEDIF(Augmented_Data!$K294,Augmented_Data!$U294,"D")</f>
        <v>6</v>
      </c>
      <c r="W294" s="14" t="s">
        <v>1856</v>
      </c>
      <c r="X294" s="14">
        <f>Augmented_Data!$Z294-Augmented_Data!$AA294</f>
        <v>29.267999999999972</v>
      </c>
      <c r="Y294" s="14">
        <f>Augmented_Data!$N294*Augmented_Data!$O294</f>
        <v>249.68</v>
      </c>
      <c r="Z294" s="14">
        <f>Augmented_Data!$Y294+Augmented_Data!$T294</f>
        <v>292.68</v>
      </c>
      <c r="AA294" s="16">
        <f>IF(Augmented_Data!Q294="0 delivery charge",Augmented_Data!Z294-Augmented_Data!T294,Augmented_Data!Z294*(1-Augmented_Data!Q294))</f>
        <v>263.41200000000003</v>
      </c>
    </row>
    <row r="295" spans="1:27" x14ac:dyDescent="0.3">
      <c r="A295" s="11" t="s">
        <v>105</v>
      </c>
      <c r="B295" s="11" t="str">
        <f>_xlfn.CONCAT(Augmented_Data!$C295," ",Augmented_Data!$D295)</f>
        <v>Mike Carter</v>
      </c>
      <c r="C295" s="11" t="s">
        <v>192</v>
      </c>
      <c r="D295" s="11" t="s">
        <v>279</v>
      </c>
      <c r="E295" s="11">
        <v>59</v>
      </c>
      <c r="F295" s="11" t="s">
        <v>290</v>
      </c>
      <c r="G295" s="11" t="s">
        <v>297</v>
      </c>
      <c r="H295" s="11" t="s">
        <v>386</v>
      </c>
      <c r="I295" s="11" t="s">
        <v>486</v>
      </c>
      <c r="J295" s="11" t="s">
        <v>792</v>
      </c>
      <c r="K295" s="12">
        <v>45527</v>
      </c>
      <c r="L295" s="11" t="s">
        <v>1292</v>
      </c>
      <c r="M295" s="11" t="s">
        <v>1518</v>
      </c>
      <c r="N295" s="11">
        <v>496.59</v>
      </c>
      <c r="O295" s="11">
        <v>2</v>
      </c>
      <c r="P295" s="11" t="s">
        <v>2047</v>
      </c>
      <c r="Q295" s="11" t="str">
        <f>_xlfn.IFS(Augmented_Data!$P295="FLAT8","8%",Augmented_Data!$P295="FLAT10","10%",Augmented_Data!$P295="FLAT15","15%",Augmented_Data!$P295="FLAT20","20%",Augmented_Data!$P295="DEL0","0 delivery charge")</f>
        <v>8%</v>
      </c>
      <c r="R295" s="11">
        <v>3</v>
      </c>
      <c r="S295" s="11" t="str">
        <f>_xlfn.IFS(Augmented_Data!U295-Augmented_Data!K295=Augmented_Data!$R295,"Intime",Augmented_Data!U295-Augmented_Data!K295&lt;Augmented_Data!R295,"Before Time",Augmented_Data!U295-Augmented_Data!K295&gt;Augmented_Data!R295,"Late")</f>
        <v>Before Time</v>
      </c>
      <c r="T295" s="11">
        <v>55</v>
      </c>
      <c r="U295" s="12">
        <v>45528</v>
      </c>
      <c r="V295" s="11">
        <f>DATEDIF(Augmented_Data!$K295,Augmented_Data!$U295,"D")</f>
        <v>1</v>
      </c>
      <c r="W295" s="11" t="s">
        <v>1843</v>
      </c>
      <c r="X295" s="11">
        <f>Augmented_Data!$Z295-Augmented_Data!$AA295</f>
        <v>83.854399999999941</v>
      </c>
      <c r="Y295" s="11">
        <f>Augmented_Data!$N295*Augmented_Data!$O295</f>
        <v>993.18</v>
      </c>
      <c r="Z295" s="11">
        <f>Augmented_Data!$Y295+Augmented_Data!$T295</f>
        <v>1048.1799999999998</v>
      </c>
      <c r="AA295" s="13">
        <f>IF(Augmented_Data!Q295="0 delivery charge",Augmented_Data!Z295-Augmented_Data!T295,Augmented_Data!Z295*(1-Augmented_Data!Q295))</f>
        <v>964.32559999999989</v>
      </c>
    </row>
    <row r="296" spans="1:27" x14ac:dyDescent="0.3">
      <c r="A296" s="14" t="s">
        <v>71</v>
      </c>
      <c r="B296" s="14" t="str">
        <f>_xlfn.CONCAT(Augmented_Data!$C296," ",Augmented_Data!$D296)</f>
        <v>Katherine Weber</v>
      </c>
      <c r="C296" s="14" t="s">
        <v>165</v>
      </c>
      <c r="D296" s="14" t="s">
        <v>249</v>
      </c>
      <c r="E296" s="14">
        <v>42</v>
      </c>
      <c r="F296" s="14" t="s">
        <v>290</v>
      </c>
      <c r="G296" s="14" t="s">
        <v>295</v>
      </c>
      <c r="H296" s="14" t="s">
        <v>352</v>
      </c>
      <c r="I296" s="14" t="s">
        <v>452</v>
      </c>
      <c r="J296" s="14" t="s">
        <v>793</v>
      </c>
      <c r="K296" s="15">
        <v>45233</v>
      </c>
      <c r="L296" s="14" t="s">
        <v>1293</v>
      </c>
      <c r="M296" s="14" t="s">
        <v>1528</v>
      </c>
      <c r="N296" s="14">
        <v>431.44</v>
      </c>
      <c r="O296" s="14">
        <v>4</v>
      </c>
      <c r="P296" s="14" t="s">
        <v>1547</v>
      </c>
      <c r="Q296" s="14" t="str">
        <f>_xlfn.IFS(Augmented_Data!$P296="FLAT8","8%",Augmented_Data!$P296="FLAT10","10%",Augmented_Data!$P296="FLAT15","15%",Augmented_Data!$P296="FLAT20","20%",Augmented_Data!$P296="DEL0","0 delivery charge")</f>
        <v>0 delivery charge</v>
      </c>
      <c r="R296" s="14">
        <v>3</v>
      </c>
      <c r="S296" s="14" t="str">
        <f>_xlfn.IFS(Augmented_Data!U296-Augmented_Data!K296=Augmented_Data!$R296,"Intime",Augmented_Data!U296-Augmented_Data!K296&lt;Augmented_Data!R296,"Before Time",Augmented_Data!U296-Augmented_Data!K296&gt;Augmented_Data!R296,"Late")</f>
        <v>Late</v>
      </c>
      <c r="T296" s="14">
        <v>65</v>
      </c>
      <c r="U296" s="15">
        <v>45239</v>
      </c>
      <c r="V296" s="14">
        <f>DATEDIF(Augmented_Data!$K296,Augmented_Data!$U296,"D")</f>
        <v>6</v>
      </c>
      <c r="W296" s="14" t="s">
        <v>1844</v>
      </c>
      <c r="X296" s="14">
        <f>Augmented_Data!$Z296-Augmented_Data!$AA296</f>
        <v>65</v>
      </c>
      <c r="Y296" s="14">
        <f>Augmented_Data!$N296*Augmented_Data!$O296</f>
        <v>1725.76</v>
      </c>
      <c r="Z296" s="14">
        <f>Augmented_Data!$Y296+Augmented_Data!$T296</f>
        <v>1790.76</v>
      </c>
      <c r="AA296" s="16">
        <f>IF(Augmented_Data!Q296="0 delivery charge",Augmented_Data!Z296-Augmented_Data!T296,Augmented_Data!Z296*(1-Augmented_Data!Q296))</f>
        <v>1725.76</v>
      </c>
    </row>
    <row r="297" spans="1:27" x14ac:dyDescent="0.3">
      <c r="A297" s="11" t="s">
        <v>57</v>
      </c>
      <c r="B297" s="11" t="str">
        <f>_xlfn.CONCAT(Augmented_Data!$C297," ",Augmented_Data!$D297)</f>
        <v>Aaron Thompson</v>
      </c>
      <c r="C297" s="11" t="s">
        <v>155</v>
      </c>
      <c r="D297" s="11" t="s">
        <v>238</v>
      </c>
      <c r="E297" s="11">
        <v>47</v>
      </c>
      <c r="F297" s="11" t="s">
        <v>289</v>
      </c>
      <c r="G297" s="11" t="s">
        <v>296</v>
      </c>
      <c r="H297" s="11" t="s">
        <v>338</v>
      </c>
      <c r="I297" s="11" t="s">
        <v>438</v>
      </c>
      <c r="J297" s="11" t="s">
        <v>794</v>
      </c>
      <c r="K297" s="12">
        <v>45513</v>
      </c>
      <c r="L297" s="11" t="s">
        <v>1294</v>
      </c>
      <c r="M297" s="11" t="s">
        <v>1540</v>
      </c>
      <c r="N297" s="11">
        <v>424.82</v>
      </c>
      <c r="O297" s="11">
        <v>2</v>
      </c>
      <c r="P297" s="11" t="s">
        <v>1547</v>
      </c>
      <c r="Q297" s="11" t="str">
        <f>_xlfn.IFS(Augmented_Data!$P297="FLAT8","8%",Augmented_Data!$P297="FLAT10","10%",Augmented_Data!$P297="FLAT15","15%",Augmented_Data!$P297="FLAT20","20%",Augmented_Data!$P297="DEL0","0 delivery charge")</f>
        <v>0 delivery charge</v>
      </c>
      <c r="R297" s="11">
        <v>2</v>
      </c>
      <c r="S297" s="11" t="str">
        <f>_xlfn.IFS(Augmented_Data!U297-Augmented_Data!K297=Augmented_Data!$R297,"Intime",Augmented_Data!U297-Augmented_Data!K297&lt;Augmented_Data!R297,"Before Time",Augmented_Data!U297-Augmented_Data!K297&gt;Augmented_Data!R297,"Late")</f>
        <v>Late</v>
      </c>
      <c r="T297" s="11">
        <v>57</v>
      </c>
      <c r="U297" s="12">
        <v>45520</v>
      </c>
      <c r="V297" s="11">
        <f>DATEDIF(Augmented_Data!$K297,Augmented_Data!$U297,"D")</f>
        <v>7</v>
      </c>
      <c r="W297" s="11" t="s">
        <v>1845</v>
      </c>
      <c r="X297" s="11">
        <f>Augmented_Data!$Z297-Augmented_Data!$AA297</f>
        <v>57</v>
      </c>
      <c r="Y297" s="11">
        <f>Augmented_Data!$N297*Augmented_Data!$O297</f>
        <v>849.64</v>
      </c>
      <c r="Z297" s="11">
        <f>Augmented_Data!$Y297+Augmented_Data!$T297</f>
        <v>906.64</v>
      </c>
      <c r="AA297" s="13">
        <f>IF(Augmented_Data!Q297="0 delivery charge",Augmented_Data!Z297-Augmented_Data!T297,Augmented_Data!Z297*(1-Augmented_Data!Q297))</f>
        <v>849.64</v>
      </c>
    </row>
    <row r="298" spans="1:27" x14ac:dyDescent="0.3">
      <c r="A298" s="14" t="s">
        <v>90</v>
      </c>
      <c r="B298" s="14" t="str">
        <f>_xlfn.CONCAT(Augmented_Data!$C298," ",Augmented_Data!$D298)</f>
        <v>Mark Summers</v>
      </c>
      <c r="C298" s="14" t="s">
        <v>139</v>
      </c>
      <c r="D298" s="14" t="s">
        <v>266</v>
      </c>
      <c r="E298" s="14">
        <v>55</v>
      </c>
      <c r="F298" s="14" t="s">
        <v>289</v>
      </c>
      <c r="G298" s="14" t="s">
        <v>293</v>
      </c>
      <c r="H298" s="14" t="s">
        <v>371</v>
      </c>
      <c r="I298" s="14" t="s">
        <v>471</v>
      </c>
      <c r="J298" s="14" t="s">
        <v>810</v>
      </c>
      <c r="K298" s="15">
        <v>45567</v>
      </c>
      <c r="L298" s="14" t="s">
        <v>1310</v>
      </c>
      <c r="M298" s="14" t="s">
        <v>1519</v>
      </c>
      <c r="N298" s="14">
        <v>421.7</v>
      </c>
      <c r="O298" s="14">
        <v>3</v>
      </c>
      <c r="P298" s="14" t="s">
        <v>2047</v>
      </c>
      <c r="Q298" s="14" t="str">
        <f>_xlfn.IFS(Augmented_Data!$P298="FLAT8","8%",Augmented_Data!$P298="FLAT10","10%",Augmented_Data!$P298="FLAT15","15%",Augmented_Data!$P298="FLAT20","20%",Augmented_Data!$P298="DEL0","0 delivery charge")</f>
        <v>8%</v>
      </c>
      <c r="R298" s="14">
        <v>5</v>
      </c>
      <c r="S298" s="14" t="str">
        <f>_xlfn.IFS(Augmented_Data!U298-Augmented_Data!K298=Augmented_Data!$R298,"Intime",Augmented_Data!U298-Augmented_Data!K298&lt;Augmented_Data!R298,"Before Time",Augmented_Data!U298-Augmented_Data!K298&gt;Augmented_Data!R298,"Late")</f>
        <v>Before Time</v>
      </c>
      <c r="T298" s="14">
        <v>54</v>
      </c>
      <c r="U298" s="15">
        <v>45571</v>
      </c>
      <c r="V298" s="14">
        <f>DATEDIF(Augmented_Data!$K298,Augmented_Data!$U298,"D")</f>
        <v>4</v>
      </c>
      <c r="W298" s="14" t="s">
        <v>1861</v>
      </c>
      <c r="X298" s="14">
        <f>Augmented_Data!$Z298-Augmented_Data!$AA298</f>
        <v>105.52800000000002</v>
      </c>
      <c r="Y298" s="14">
        <f>Augmented_Data!$N298*Augmented_Data!$O298</f>
        <v>1265.0999999999999</v>
      </c>
      <c r="Z298" s="14">
        <f>Augmented_Data!$Y298+Augmented_Data!$T298</f>
        <v>1319.1</v>
      </c>
      <c r="AA298" s="16">
        <f>IF(Augmented_Data!Q298="0 delivery charge",Augmented_Data!Z298-Augmented_Data!T298,Augmented_Data!Z298*(1-Augmented_Data!Q298))</f>
        <v>1213.5719999999999</v>
      </c>
    </row>
    <row r="299" spans="1:27" x14ac:dyDescent="0.3">
      <c r="A299" s="11" t="s">
        <v>20</v>
      </c>
      <c r="B299" s="11" t="str">
        <f>_xlfn.CONCAT(Augmented_Data!$C299," ",Augmented_Data!$D299)</f>
        <v>Hannah Gutierrez</v>
      </c>
      <c r="C299" s="11" t="s">
        <v>120</v>
      </c>
      <c r="D299" s="11" t="s">
        <v>202</v>
      </c>
      <c r="E299" s="11">
        <v>55</v>
      </c>
      <c r="F299" s="11" t="s">
        <v>289</v>
      </c>
      <c r="G299" s="11" t="s">
        <v>293</v>
      </c>
      <c r="H299" s="11" t="s">
        <v>301</v>
      </c>
      <c r="I299" s="11" t="s">
        <v>401</v>
      </c>
      <c r="J299" s="11" t="s">
        <v>509</v>
      </c>
      <c r="K299" s="12">
        <v>45157</v>
      </c>
      <c r="L299" s="11" t="s">
        <v>1009</v>
      </c>
      <c r="M299" s="11" t="s">
        <v>1506</v>
      </c>
      <c r="N299" s="11">
        <v>372.62</v>
      </c>
      <c r="O299" s="11">
        <v>1</v>
      </c>
      <c r="P299" s="11" t="s">
        <v>1549</v>
      </c>
      <c r="Q299" s="11" t="str">
        <f>_xlfn.IFS(Augmented_Data!$P299="FLAT8","8%",Augmented_Data!$P299="FLAT10","10%",Augmented_Data!$P299="FLAT15","15%",Augmented_Data!$P299="FLAT20","20%",Augmented_Data!$P299="DEL0","0 delivery charge")</f>
        <v>10%</v>
      </c>
      <c r="R299" s="11">
        <v>5</v>
      </c>
      <c r="S299" s="11" t="str">
        <f>_xlfn.IFS(Augmented_Data!U299-Augmented_Data!K299=Augmented_Data!$R299,"Intime",Augmented_Data!U299-Augmented_Data!K299&lt;Augmented_Data!R299,"Before Time",Augmented_Data!U299-Augmented_Data!K299&gt;Augmented_Data!R299,"Late")</f>
        <v>Late</v>
      </c>
      <c r="T299" s="11">
        <v>45</v>
      </c>
      <c r="U299" s="12">
        <v>45164</v>
      </c>
      <c r="V299" s="11">
        <f>DATEDIF(Augmented_Data!$K299,Augmented_Data!$U299,"D")</f>
        <v>7</v>
      </c>
      <c r="W299" s="11" t="s">
        <v>1561</v>
      </c>
      <c r="X299" s="11">
        <f>Augmented_Data!$Z299-Augmented_Data!$AA299</f>
        <v>41.762</v>
      </c>
      <c r="Y299" s="11">
        <f>Augmented_Data!$N299*Augmented_Data!$O299</f>
        <v>372.62</v>
      </c>
      <c r="Z299" s="11">
        <f>Augmented_Data!$Y299+Augmented_Data!$T299</f>
        <v>417.62</v>
      </c>
      <c r="AA299" s="13">
        <f>IF(Augmented_Data!Q299="0 delivery charge",Augmented_Data!Z299-Augmented_Data!T299,Augmented_Data!Z299*(1-Augmented_Data!Q299))</f>
        <v>375.858</v>
      </c>
    </row>
    <row r="300" spans="1:27" x14ac:dyDescent="0.3">
      <c r="A300" s="14" t="s">
        <v>110</v>
      </c>
      <c r="B300" s="14" t="str">
        <f>_xlfn.CONCAT(Augmented_Data!$C300," ",Augmented_Data!$D300)</f>
        <v>Brendan Kelly</v>
      </c>
      <c r="C300" s="14" t="s">
        <v>195</v>
      </c>
      <c r="D300" s="14" t="s">
        <v>200</v>
      </c>
      <c r="E300" s="14">
        <v>50</v>
      </c>
      <c r="F300" s="14" t="s">
        <v>290</v>
      </c>
      <c r="G300" s="14" t="s">
        <v>297</v>
      </c>
      <c r="H300" s="14" t="s">
        <v>391</v>
      </c>
      <c r="I300" s="14" t="s">
        <v>491</v>
      </c>
      <c r="J300" s="14" t="s">
        <v>894</v>
      </c>
      <c r="K300" s="15">
        <v>45557</v>
      </c>
      <c r="L300" s="14" t="s">
        <v>1394</v>
      </c>
      <c r="M300" s="14" t="s">
        <v>1512</v>
      </c>
      <c r="N300" s="14">
        <v>104.18</v>
      </c>
      <c r="O300" s="14">
        <v>1</v>
      </c>
      <c r="P300" s="14" t="s">
        <v>2047</v>
      </c>
      <c r="Q300" s="14" t="str">
        <f>_xlfn.IFS(Augmented_Data!$P300="FLAT8","8%",Augmented_Data!$P300="FLAT10","10%",Augmented_Data!$P300="FLAT15","15%",Augmented_Data!$P300="FLAT20","20%",Augmented_Data!$P300="DEL0","0 delivery charge")</f>
        <v>8%</v>
      </c>
      <c r="R300" s="14">
        <v>3</v>
      </c>
      <c r="S300" s="14" t="str">
        <f>_xlfn.IFS(Augmented_Data!U300-Augmented_Data!K300=Augmented_Data!$R300,"Intime",Augmented_Data!U300-Augmented_Data!K300&lt;Augmented_Data!R300,"Before Time",Augmented_Data!U300-Augmented_Data!K300&gt;Augmented_Data!R300,"Late")</f>
        <v>Late</v>
      </c>
      <c r="T300" s="14">
        <v>60</v>
      </c>
      <c r="U300" s="15">
        <v>45563</v>
      </c>
      <c r="V300" s="14">
        <f>DATEDIF(Augmented_Data!$K300,Augmented_Data!$U300,"D")</f>
        <v>6</v>
      </c>
      <c r="W300" s="14" t="s">
        <v>1943</v>
      </c>
      <c r="X300" s="14">
        <f>Augmented_Data!$Z300-Augmented_Data!$AA300</f>
        <v>13.134399999999999</v>
      </c>
      <c r="Y300" s="14">
        <f>Augmented_Data!$N300*Augmented_Data!$O300</f>
        <v>104.18</v>
      </c>
      <c r="Z300" s="14">
        <f>Augmented_Data!$Y300+Augmented_Data!$T300</f>
        <v>164.18</v>
      </c>
      <c r="AA300" s="16">
        <f>IF(Augmented_Data!Q300="0 delivery charge",Augmented_Data!Z300-Augmented_Data!T300,Augmented_Data!Z300*(1-Augmented_Data!Q300))</f>
        <v>151.04560000000001</v>
      </c>
    </row>
    <row r="301" spans="1:27" x14ac:dyDescent="0.3">
      <c r="A301" s="11" t="s">
        <v>96</v>
      </c>
      <c r="B301" s="11" t="str">
        <f>_xlfn.CONCAT(Augmented_Data!$C301," ",Augmented_Data!$D301)</f>
        <v>Leslie Montgomery</v>
      </c>
      <c r="C301" s="11" t="s">
        <v>185</v>
      </c>
      <c r="D301" s="11" t="s">
        <v>272</v>
      </c>
      <c r="E301" s="11">
        <v>26</v>
      </c>
      <c r="F301" s="11" t="s">
        <v>289</v>
      </c>
      <c r="G301" s="11" t="s">
        <v>293</v>
      </c>
      <c r="H301" s="11" t="s">
        <v>377</v>
      </c>
      <c r="I301" s="11" t="s">
        <v>477</v>
      </c>
      <c r="J301" s="11" t="s">
        <v>798</v>
      </c>
      <c r="K301" s="12">
        <v>45104</v>
      </c>
      <c r="L301" s="11" t="s">
        <v>1298</v>
      </c>
      <c r="M301" s="11" t="s">
        <v>1508</v>
      </c>
      <c r="N301" s="11">
        <v>175.93</v>
      </c>
      <c r="O301" s="11">
        <v>2</v>
      </c>
      <c r="P301" s="11" t="s">
        <v>2047</v>
      </c>
      <c r="Q301" s="11" t="str">
        <f>_xlfn.IFS(Augmented_Data!$P301="FLAT8","8%",Augmented_Data!$P301="FLAT10","10%",Augmented_Data!$P301="FLAT15","15%",Augmented_Data!$P301="FLAT20","20%",Augmented_Data!$P301="DEL0","0 delivery charge")</f>
        <v>8%</v>
      </c>
      <c r="R301" s="11">
        <v>5</v>
      </c>
      <c r="S301" s="11" t="str">
        <f>_xlfn.IFS(Augmented_Data!U301-Augmented_Data!K301=Augmented_Data!$R301,"Intime",Augmented_Data!U301-Augmented_Data!K301&lt;Augmented_Data!R301,"Before Time",Augmented_Data!U301-Augmented_Data!K301&gt;Augmented_Data!R301,"Late")</f>
        <v>Before Time</v>
      </c>
      <c r="T301" s="11">
        <v>49</v>
      </c>
      <c r="U301" s="12">
        <v>45106</v>
      </c>
      <c r="V301" s="11">
        <f>DATEDIF(Augmented_Data!$K301,Augmented_Data!$U301,"D")</f>
        <v>2</v>
      </c>
      <c r="W301" s="11" t="s">
        <v>1849</v>
      </c>
      <c r="X301" s="11">
        <f>Augmented_Data!$Z301-Augmented_Data!$AA301</f>
        <v>32.06880000000001</v>
      </c>
      <c r="Y301" s="11">
        <f>Augmented_Data!$N301*Augmented_Data!$O301</f>
        <v>351.86</v>
      </c>
      <c r="Z301" s="11">
        <f>Augmented_Data!$Y301+Augmented_Data!$T301</f>
        <v>400.86</v>
      </c>
      <c r="AA301" s="13">
        <f>IF(Augmented_Data!Q301="0 delivery charge",Augmented_Data!Z301-Augmented_Data!T301,Augmented_Data!Z301*(1-Augmented_Data!Q301))</f>
        <v>368.7912</v>
      </c>
    </row>
    <row r="302" spans="1:27" x14ac:dyDescent="0.3">
      <c r="A302" s="14" t="s">
        <v>103</v>
      </c>
      <c r="B302" s="14" t="str">
        <f>_xlfn.CONCAT(Augmented_Data!$C302," ",Augmented_Data!$D302)</f>
        <v>Gary Huff</v>
      </c>
      <c r="C302" s="14" t="s">
        <v>191</v>
      </c>
      <c r="D302" s="14" t="s">
        <v>277</v>
      </c>
      <c r="E302" s="14">
        <v>18</v>
      </c>
      <c r="F302" s="14" t="s">
        <v>288</v>
      </c>
      <c r="G302" s="14" t="s">
        <v>295</v>
      </c>
      <c r="H302" s="14" t="s">
        <v>384</v>
      </c>
      <c r="I302" s="14" t="s">
        <v>484</v>
      </c>
      <c r="J302" s="14" t="s">
        <v>841</v>
      </c>
      <c r="K302" s="15">
        <v>45563</v>
      </c>
      <c r="L302" s="14" t="s">
        <v>1341</v>
      </c>
      <c r="M302" s="14" t="s">
        <v>1520</v>
      </c>
      <c r="N302" s="14">
        <v>62.42</v>
      </c>
      <c r="O302" s="14">
        <v>1</v>
      </c>
      <c r="P302" s="14" t="s">
        <v>2047</v>
      </c>
      <c r="Q302" s="14" t="str">
        <f>_xlfn.IFS(Augmented_Data!$P302="FLAT8","8%",Augmented_Data!$P302="FLAT10","10%",Augmented_Data!$P302="FLAT15","15%",Augmented_Data!$P302="FLAT20","20%",Augmented_Data!$P302="DEL0","0 delivery charge")</f>
        <v>8%</v>
      </c>
      <c r="R302" s="14">
        <v>3</v>
      </c>
      <c r="S302" s="14" t="str">
        <f>_xlfn.IFS(Augmented_Data!U302-Augmented_Data!K302=Augmented_Data!$R302,"Intime",Augmented_Data!U302-Augmented_Data!K302&lt;Augmented_Data!R302,"Before Time",Augmented_Data!U302-Augmented_Data!K302&gt;Augmented_Data!R302,"Late")</f>
        <v>Before Time</v>
      </c>
      <c r="T302" s="14">
        <v>46</v>
      </c>
      <c r="U302" s="15">
        <v>45565</v>
      </c>
      <c r="V302" s="14">
        <f>DATEDIF(Augmented_Data!$K302,Augmented_Data!$U302,"D")</f>
        <v>2</v>
      </c>
      <c r="W302" s="14" t="s">
        <v>1892</v>
      </c>
      <c r="X302" s="14">
        <f>Augmented_Data!$Z302-Augmented_Data!$AA302</f>
        <v>8.6735999999999933</v>
      </c>
      <c r="Y302" s="14">
        <f>Augmented_Data!$N302*Augmented_Data!$O302</f>
        <v>62.42</v>
      </c>
      <c r="Z302" s="14">
        <f>Augmented_Data!$Y302+Augmented_Data!$T302</f>
        <v>108.42</v>
      </c>
      <c r="AA302" s="16">
        <f>IF(Augmented_Data!Q302="0 delivery charge",Augmented_Data!Z302-Augmented_Data!T302,Augmented_Data!Z302*(1-Augmented_Data!Q302))</f>
        <v>99.746400000000008</v>
      </c>
    </row>
    <row r="303" spans="1:27" x14ac:dyDescent="0.3">
      <c r="A303" s="11" t="s">
        <v>60</v>
      </c>
      <c r="B303" s="11" t="str">
        <f>_xlfn.CONCAT(Augmented_Data!$C303," ",Augmented_Data!$D303)</f>
        <v>Amanda Howard</v>
      </c>
      <c r="C303" s="11" t="s">
        <v>157</v>
      </c>
      <c r="D303" s="11" t="s">
        <v>241</v>
      </c>
      <c r="E303" s="11">
        <v>52</v>
      </c>
      <c r="F303" s="11" t="s">
        <v>290</v>
      </c>
      <c r="G303" s="11" t="s">
        <v>298</v>
      </c>
      <c r="H303" s="11" t="s">
        <v>341</v>
      </c>
      <c r="I303" s="11" t="s">
        <v>441</v>
      </c>
      <c r="J303" s="11" t="s">
        <v>800</v>
      </c>
      <c r="K303" s="12">
        <v>45279</v>
      </c>
      <c r="L303" s="11" t="s">
        <v>1300</v>
      </c>
      <c r="M303" s="11" t="s">
        <v>1513</v>
      </c>
      <c r="N303" s="11">
        <v>20.7</v>
      </c>
      <c r="O303" s="11">
        <v>2</v>
      </c>
      <c r="P303" s="11" t="s">
        <v>2047</v>
      </c>
      <c r="Q303" s="11" t="str">
        <f>_xlfn.IFS(Augmented_Data!$P303="FLAT8","8%",Augmented_Data!$P303="FLAT10","10%",Augmented_Data!$P303="FLAT15","15%",Augmented_Data!$P303="FLAT20","20%",Augmented_Data!$P303="DEL0","0 delivery charge")</f>
        <v>8%</v>
      </c>
      <c r="R303" s="11">
        <v>7</v>
      </c>
      <c r="S303" s="11" t="str">
        <f>_xlfn.IFS(Augmented_Data!U303-Augmented_Data!K303=Augmented_Data!$R303,"Intime",Augmented_Data!U303-Augmented_Data!K303&lt;Augmented_Data!R303,"Before Time",Augmented_Data!U303-Augmented_Data!K303&gt;Augmented_Data!R303,"Late")</f>
        <v>Intime</v>
      </c>
      <c r="T303" s="11">
        <v>39</v>
      </c>
      <c r="U303" s="12">
        <v>45286</v>
      </c>
      <c r="V303" s="11">
        <f>DATEDIF(Augmented_Data!$K303,Augmented_Data!$U303,"D")</f>
        <v>7</v>
      </c>
      <c r="W303" s="11" t="s">
        <v>1851</v>
      </c>
      <c r="X303" s="11">
        <f>Augmented_Data!$Z303-Augmented_Data!$AA303</f>
        <v>6.4320000000000022</v>
      </c>
      <c r="Y303" s="11">
        <f>Augmented_Data!$N303*Augmented_Data!$O303</f>
        <v>41.4</v>
      </c>
      <c r="Z303" s="11">
        <f>Augmented_Data!$Y303+Augmented_Data!$T303</f>
        <v>80.400000000000006</v>
      </c>
      <c r="AA303" s="13">
        <f>IF(Augmented_Data!Q303="0 delivery charge",Augmented_Data!Z303-Augmented_Data!T303,Augmented_Data!Z303*(1-Augmented_Data!Q303))</f>
        <v>73.968000000000004</v>
      </c>
    </row>
    <row r="304" spans="1:27" x14ac:dyDescent="0.3">
      <c r="A304" s="14" t="s">
        <v>32</v>
      </c>
      <c r="B304" s="14" t="str">
        <f>_xlfn.CONCAT(Augmented_Data!$C304," ",Augmented_Data!$D304)</f>
        <v>Joshua Campbell</v>
      </c>
      <c r="C304" s="14" t="s">
        <v>132</v>
      </c>
      <c r="D304" s="14" t="s">
        <v>214</v>
      </c>
      <c r="E304" s="14">
        <v>24</v>
      </c>
      <c r="F304" s="14" t="s">
        <v>288</v>
      </c>
      <c r="G304" s="14" t="s">
        <v>293</v>
      </c>
      <c r="H304" s="14" t="s">
        <v>313</v>
      </c>
      <c r="I304" s="14" t="s">
        <v>413</v>
      </c>
      <c r="J304" s="14" t="s">
        <v>801</v>
      </c>
      <c r="K304" s="15">
        <v>45206</v>
      </c>
      <c r="L304" s="14" t="s">
        <v>1301</v>
      </c>
      <c r="M304" s="14" t="s">
        <v>1509</v>
      </c>
      <c r="N304" s="14">
        <v>190.1</v>
      </c>
      <c r="O304" s="14">
        <v>1</v>
      </c>
      <c r="P304" s="14" t="s">
        <v>1550</v>
      </c>
      <c r="Q304" s="14" t="str">
        <f>_xlfn.IFS(Augmented_Data!$P304="FLAT8","8%",Augmented_Data!$P304="FLAT10","10%",Augmented_Data!$P304="FLAT15","15%",Augmented_Data!$P304="FLAT20","20%",Augmented_Data!$P304="DEL0","0 delivery charge")</f>
        <v>20%</v>
      </c>
      <c r="R304" s="14">
        <v>3</v>
      </c>
      <c r="S304" s="14" t="str">
        <f>_xlfn.IFS(Augmented_Data!U304-Augmented_Data!K304=Augmented_Data!$R304,"Intime",Augmented_Data!U304-Augmented_Data!K304&lt;Augmented_Data!R304,"Before Time",Augmented_Data!U304-Augmented_Data!K304&gt;Augmented_Data!R304,"Late")</f>
        <v>Before Time</v>
      </c>
      <c r="T304" s="14">
        <v>63</v>
      </c>
      <c r="U304" s="15">
        <v>45207</v>
      </c>
      <c r="V304" s="14">
        <f>DATEDIF(Augmented_Data!$K304,Augmented_Data!$U304,"D")</f>
        <v>1</v>
      </c>
      <c r="W304" s="14" t="s">
        <v>1852</v>
      </c>
      <c r="X304" s="14">
        <f>Augmented_Data!$Z304-Augmented_Data!$AA304</f>
        <v>50.619999999999976</v>
      </c>
      <c r="Y304" s="14">
        <f>Augmented_Data!$N304*Augmented_Data!$O304</f>
        <v>190.1</v>
      </c>
      <c r="Z304" s="14">
        <f>Augmented_Data!$Y304+Augmented_Data!$T304</f>
        <v>253.1</v>
      </c>
      <c r="AA304" s="16">
        <f>IF(Augmented_Data!Q304="0 delivery charge",Augmented_Data!Z304-Augmented_Data!T304,Augmented_Data!Z304*(1-Augmented_Data!Q304))</f>
        <v>202.48000000000002</v>
      </c>
    </row>
    <row r="305" spans="1:27" x14ac:dyDescent="0.3">
      <c r="A305" s="11" t="s">
        <v>106</v>
      </c>
      <c r="B305" s="11" t="str">
        <f>_xlfn.CONCAT(Augmented_Data!$C305," ",Augmented_Data!$D305)</f>
        <v>Thomas Owens</v>
      </c>
      <c r="C305" s="11" t="s">
        <v>154</v>
      </c>
      <c r="D305" s="11" t="s">
        <v>280</v>
      </c>
      <c r="E305" s="11">
        <v>34</v>
      </c>
      <c r="F305" s="11" t="s">
        <v>290</v>
      </c>
      <c r="G305" s="11" t="s">
        <v>298</v>
      </c>
      <c r="H305" s="11" t="s">
        <v>387</v>
      </c>
      <c r="I305" s="11" t="s">
        <v>487</v>
      </c>
      <c r="J305" s="11" t="s">
        <v>802</v>
      </c>
      <c r="K305" s="12">
        <v>45324</v>
      </c>
      <c r="L305" s="11" t="s">
        <v>1302</v>
      </c>
      <c r="M305" s="11" t="s">
        <v>1522</v>
      </c>
      <c r="N305" s="11">
        <v>158.53</v>
      </c>
      <c r="O305" s="11">
        <v>3</v>
      </c>
      <c r="P305" s="11" t="s">
        <v>1550</v>
      </c>
      <c r="Q305" s="11" t="str">
        <f>_xlfn.IFS(Augmented_Data!$P305="FLAT8","8%",Augmented_Data!$P305="FLAT10","10%",Augmented_Data!$P305="FLAT15","15%",Augmented_Data!$P305="FLAT20","20%",Augmented_Data!$P305="DEL0","0 delivery charge")</f>
        <v>20%</v>
      </c>
      <c r="R305" s="11">
        <v>6</v>
      </c>
      <c r="S305" s="11" t="str">
        <f>_xlfn.IFS(Augmented_Data!U305-Augmented_Data!K305=Augmented_Data!$R305,"Intime",Augmented_Data!U305-Augmented_Data!K305&lt;Augmented_Data!R305,"Before Time",Augmented_Data!U305-Augmented_Data!K305&gt;Augmented_Data!R305,"Late")</f>
        <v>Late</v>
      </c>
      <c r="T305" s="11">
        <v>38</v>
      </c>
      <c r="U305" s="12">
        <v>45331</v>
      </c>
      <c r="V305" s="11">
        <f>DATEDIF(Augmented_Data!$K305,Augmented_Data!$U305,"D")</f>
        <v>7</v>
      </c>
      <c r="W305" s="11" t="s">
        <v>1853</v>
      </c>
      <c r="X305" s="11">
        <f>Augmented_Data!$Z305-Augmented_Data!$AA305</f>
        <v>102.71799999999996</v>
      </c>
      <c r="Y305" s="11">
        <f>Augmented_Data!$N305*Augmented_Data!$O305</f>
        <v>475.59000000000003</v>
      </c>
      <c r="Z305" s="11">
        <f>Augmented_Data!$Y305+Augmented_Data!$T305</f>
        <v>513.59</v>
      </c>
      <c r="AA305" s="13">
        <f>IF(Augmented_Data!Q305="0 delivery charge",Augmented_Data!Z305-Augmented_Data!T305,Augmented_Data!Z305*(1-Augmented_Data!Q305))</f>
        <v>410.87200000000007</v>
      </c>
    </row>
    <row r="306" spans="1:27" x14ac:dyDescent="0.3">
      <c r="A306" s="14" t="s">
        <v>43</v>
      </c>
      <c r="B306" s="14" t="str">
        <f>_xlfn.CONCAT(Augmented_Data!$C306," ",Augmented_Data!$D306)</f>
        <v>Jessica Ruiz</v>
      </c>
      <c r="C306" s="14" t="s">
        <v>141</v>
      </c>
      <c r="D306" s="14" t="s">
        <v>224</v>
      </c>
      <c r="E306" s="14">
        <v>19</v>
      </c>
      <c r="F306" s="14" t="s">
        <v>289</v>
      </c>
      <c r="G306" s="14" t="s">
        <v>295</v>
      </c>
      <c r="H306" s="14" t="s">
        <v>324</v>
      </c>
      <c r="I306" s="14" t="s">
        <v>424</v>
      </c>
      <c r="J306" s="14" t="s">
        <v>975</v>
      </c>
      <c r="K306" s="15">
        <v>45272</v>
      </c>
      <c r="L306" s="14" t="s">
        <v>1474</v>
      </c>
      <c r="M306" s="14" t="s">
        <v>1500</v>
      </c>
      <c r="N306" s="14">
        <v>44.5</v>
      </c>
      <c r="O306" s="14">
        <v>1</v>
      </c>
      <c r="P306" s="14" t="s">
        <v>1549</v>
      </c>
      <c r="Q306" s="14" t="str">
        <f>_xlfn.IFS(Augmented_Data!$P306="FLAT8","8%",Augmented_Data!$P306="FLAT10","10%",Augmented_Data!$P306="FLAT15","15%",Augmented_Data!$P306="FLAT20","20%",Augmented_Data!$P306="DEL0","0 delivery charge")</f>
        <v>10%</v>
      </c>
      <c r="R306" s="14">
        <v>4</v>
      </c>
      <c r="S306" s="14" t="str">
        <f>_xlfn.IFS(Augmented_Data!U306-Augmented_Data!K306=Augmented_Data!$R306,"Intime",Augmented_Data!U306-Augmented_Data!K306&lt;Augmented_Data!R306,"Before Time",Augmented_Data!U306-Augmented_Data!K306&gt;Augmented_Data!R306,"Late")</f>
        <v>Late</v>
      </c>
      <c r="T306" s="14">
        <v>49</v>
      </c>
      <c r="U306" s="15">
        <v>45278</v>
      </c>
      <c r="V306" s="14">
        <f>DATEDIF(Augmented_Data!$K306,Augmented_Data!$U306,"D")</f>
        <v>6</v>
      </c>
      <c r="W306" s="14" t="s">
        <v>2023</v>
      </c>
      <c r="X306" s="14">
        <f>Augmented_Data!$Z306-Augmented_Data!$AA306</f>
        <v>9.3499999999999943</v>
      </c>
      <c r="Y306" s="14">
        <f>Augmented_Data!$N306*Augmented_Data!$O306</f>
        <v>44.5</v>
      </c>
      <c r="Z306" s="14">
        <f>Augmented_Data!$Y306+Augmented_Data!$T306</f>
        <v>93.5</v>
      </c>
      <c r="AA306" s="16">
        <f>IF(Augmented_Data!Q306="0 delivery charge",Augmented_Data!Z306-Augmented_Data!T306,Augmented_Data!Z306*(1-Augmented_Data!Q306))</f>
        <v>84.15</v>
      </c>
    </row>
    <row r="307" spans="1:27" x14ac:dyDescent="0.3">
      <c r="A307" s="11" t="s">
        <v>51</v>
      </c>
      <c r="B307" s="11" t="str">
        <f>_xlfn.CONCAT(Augmented_Data!$C307," ",Augmented_Data!$D307)</f>
        <v>Courtney Parker</v>
      </c>
      <c r="C307" s="11" t="s">
        <v>149</v>
      </c>
      <c r="D307" s="11" t="s">
        <v>232</v>
      </c>
      <c r="E307" s="11">
        <v>29</v>
      </c>
      <c r="F307" s="11" t="s">
        <v>290</v>
      </c>
      <c r="G307" s="11" t="s">
        <v>296</v>
      </c>
      <c r="H307" s="11" t="s">
        <v>332</v>
      </c>
      <c r="I307" s="11" t="s">
        <v>432</v>
      </c>
      <c r="J307" s="11" t="s">
        <v>804</v>
      </c>
      <c r="K307" s="12">
        <v>45616</v>
      </c>
      <c r="L307" s="11" t="s">
        <v>1304</v>
      </c>
      <c r="M307" s="11" t="s">
        <v>1523</v>
      </c>
      <c r="N307" s="11">
        <v>129.75</v>
      </c>
      <c r="O307" s="11">
        <v>2</v>
      </c>
      <c r="P307" s="11" t="s">
        <v>1547</v>
      </c>
      <c r="Q307" s="11" t="str">
        <f>_xlfn.IFS(Augmented_Data!$P307="FLAT8","8%",Augmented_Data!$P307="FLAT10","10%",Augmented_Data!$P307="FLAT15","15%",Augmented_Data!$P307="FLAT20","20%",Augmented_Data!$P307="DEL0","0 delivery charge")</f>
        <v>0 delivery charge</v>
      </c>
      <c r="R307" s="11">
        <v>4</v>
      </c>
      <c r="S307" s="11" t="str">
        <f>_xlfn.IFS(Augmented_Data!U307-Augmented_Data!K307=Augmented_Data!$R307,"Intime",Augmented_Data!U307-Augmented_Data!K307&lt;Augmented_Data!R307,"Before Time",Augmented_Data!U307-Augmented_Data!K307&gt;Augmented_Data!R307,"Late")</f>
        <v>Intime</v>
      </c>
      <c r="T307" s="11">
        <v>53</v>
      </c>
      <c r="U307" s="12">
        <v>45620</v>
      </c>
      <c r="V307" s="11">
        <f>DATEDIF(Augmented_Data!$K307,Augmented_Data!$U307,"D")</f>
        <v>4</v>
      </c>
      <c r="W307" s="11" t="s">
        <v>1855</v>
      </c>
      <c r="X307" s="11">
        <f>Augmented_Data!$Z307-Augmented_Data!$AA307</f>
        <v>53</v>
      </c>
      <c r="Y307" s="11">
        <f>Augmented_Data!$N307*Augmented_Data!$O307</f>
        <v>259.5</v>
      </c>
      <c r="Z307" s="11">
        <f>Augmented_Data!$Y307+Augmented_Data!$T307</f>
        <v>312.5</v>
      </c>
      <c r="AA307" s="13">
        <f>IF(Augmented_Data!Q307="0 delivery charge",Augmented_Data!Z307-Augmented_Data!T307,Augmented_Data!Z307*(1-Augmented_Data!Q307))</f>
        <v>259.5</v>
      </c>
    </row>
    <row r="308" spans="1:27" x14ac:dyDescent="0.3">
      <c r="A308" s="14" t="s">
        <v>90</v>
      </c>
      <c r="B308" s="14" t="str">
        <f>_xlfn.CONCAT(Augmented_Data!$C308," ",Augmented_Data!$D308)</f>
        <v>Mark Summers</v>
      </c>
      <c r="C308" s="14" t="s">
        <v>139</v>
      </c>
      <c r="D308" s="14" t="s">
        <v>266</v>
      </c>
      <c r="E308" s="14">
        <v>55</v>
      </c>
      <c r="F308" s="14" t="s">
        <v>289</v>
      </c>
      <c r="G308" s="14" t="s">
        <v>293</v>
      </c>
      <c r="H308" s="14" t="s">
        <v>371</v>
      </c>
      <c r="I308" s="14" t="s">
        <v>471</v>
      </c>
      <c r="J308" s="14" t="s">
        <v>901</v>
      </c>
      <c r="K308" s="15">
        <v>45324</v>
      </c>
      <c r="L308" s="14" t="s">
        <v>1401</v>
      </c>
      <c r="M308" s="14" t="s">
        <v>1508</v>
      </c>
      <c r="N308" s="14">
        <v>175.93</v>
      </c>
      <c r="O308" s="14">
        <v>2</v>
      </c>
      <c r="P308" s="14" t="s">
        <v>1547</v>
      </c>
      <c r="Q308" s="14" t="str">
        <f>_xlfn.IFS(Augmented_Data!$P308="FLAT8","8%",Augmented_Data!$P308="FLAT10","10%",Augmented_Data!$P308="FLAT15","15%",Augmented_Data!$P308="FLAT20","20%",Augmented_Data!$P308="DEL0","0 delivery charge")</f>
        <v>0 delivery charge</v>
      </c>
      <c r="R308" s="14">
        <v>6</v>
      </c>
      <c r="S308" s="14" t="str">
        <f>_xlfn.IFS(Augmented_Data!U308-Augmented_Data!K308=Augmented_Data!$R308,"Intime",Augmented_Data!U308-Augmented_Data!K308&lt;Augmented_Data!R308,"Before Time",Augmented_Data!U308-Augmented_Data!K308&gt;Augmented_Data!R308,"Late")</f>
        <v>Before Time</v>
      </c>
      <c r="T308" s="14">
        <v>50</v>
      </c>
      <c r="U308" s="15">
        <v>45325</v>
      </c>
      <c r="V308" s="14">
        <f>DATEDIF(Augmented_Data!$K308,Augmented_Data!$U308,"D")</f>
        <v>1</v>
      </c>
      <c r="W308" s="14" t="s">
        <v>1950</v>
      </c>
      <c r="X308" s="14">
        <f>Augmented_Data!$Z308-Augmented_Data!$AA308</f>
        <v>50</v>
      </c>
      <c r="Y308" s="14">
        <f>Augmented_Data!$N308*Augmented_Data!$O308</f>
        <v>351.86</v>
      </c>
      <c r="Z308" s="14">
        <f>Augmented_Data!$Y308+Augmented_Data!$T308</f>
        <v>401.86</v>
      </c>
      <c r="AA308" s="16">
        <f>IF(Augmented_Data!Q308="0 delivery charge",Augmented_Data!Z308-Augmented_Data!T308,Augmented_Data!Z308*(1-Augmented_Data!Q308))</f>
        <v>351.86</v>
      </c>
    </row>
    <row r="309" spans="1:27" x14ac:dyDescent="0.3">
      <c r="A309" s="11" t="s">
        <v>97</v>
      </c>
      <c r="B309" s="11" t="str">
        <f>_xlfn.CONCAT(Augmented_Data!$C309," ",Augmented_Data!$D309)</f>
        <v>Susan Thompson</v>
      </c>
      <c r="C309" s="11" t="s">
        <v>186</v>
      </c>
      <c r="D309" s="11" t="s">
        <v>238</v>
      </c>
      <c r="E309" s="11">
        <v>37</v>
      </c>
      <c r="F309" s="11" t="s">
        <v>290</v>
      </c>
      <c r="G309" s="11" t="s">
        <v>298</v>
      </c>
      <c r="H309" s="11" t="s">
        <v>378</v>
      </c>
      <c r="I309" s="11" t="s">
        <v>478</v>
      </c>
      <c r="J309" s="11" t="s">
        <v>806</v>
      </c>
      <c r="K309" s="12">
        <v>45671</v>
      </c>
      <c r="L309" s="11" t="s">
        <v>1306</v>
      </c>
      <c r="M309" s="11" t="s">
        <v>1519</v>
      </c>
      <c r="N309" s="11">
        <v>421.7</v>
      </c>
      <c r="O309" s="11">
        <v>5</v>
      </c>
      <c r="P309" s="11" t="s">
        <v>1548</v>
      </c>
      <c r="Q309" s="11" t="str">
        <f>_xlfn.IFS(Augmented_Data!$P309="FLAT8","8%",Augmented_Data!$P309="FLAT10","10%",Augmented_Data!$P309="FLAT15","15%",Augmented_Data!$P309="FLAT20","20%",Augmented_Data!$P309="DEL0","0 delivery charge")</f>
        <v>15%</v>
      </c>
      <c r="R309" s="11">
        <v>2</v>
      </c>
      <c r="S309" s="11" t="str">
        <f>_xlfn.IFS(Augmented_Data!U309-Augmented_Data!K309=Augmented_Data!$R309,"Intime",Augmented_Data!U309-Augmented_Data!K309&lt;Augmented_Data!R309,"Before Time",Augmented_Data!U309-Augmented_Data!K309&gt;Augmented_Data!R309,"Late")</f>
        <v>Late</v>
      </c>
      <c r="T309" s="11">
        <v>56</v>
      </c>
      <c r="U309" s="12">
        <v>45674</v>
      </c>
      <c r="V309" s="11">
        <f>DATEDIF(Augmented_Data!$K309,Augmented_Data!$U309,"D")</f>
        <v>3</v>
      </c>
      <c r="W309" s="11" t="s">
        <v>1857</v>
      </c>
      <c r="X309" s="11">
        <f>Augmented_Data!$Z309-Augmented_Data!$AA309</f>
        <v>324.67499999999995</v>
      </c>
      <c r="Y309" s="11">
        <f>Augmented_Data!$N309*Augmented_Data!$O309</f>
        <v>2108.5</v>
      </c>
      <c r="Z309" s="11">
        <f>Augmented_Data!$Y309+Augmented_Data!$T309</f>
        <v>2164.5</v>
      </c>
      <c r="AA309" s="13">
        <f>IF(Augmented_Data!Q309="0 delivery charge",Augmented_Data!Z309-Augmented_Data!T309,Augmented_Data!Z309*(1-Augmented_Data!Q309))</f>
        <v>1839.825</v>
      </c>
    </row>
    <row r="310" spans="1:27" x14ac:dyDescent="0.3">
      <c r="A310" s="14" t="s">
        <v>77</v>
      </c>
      <c r="B310" s="14" t="str">
        <f>_xlfn.CONCAT(Augmented_Data!$C310," ",Augmented_Data!$D310)</f>
        <v>William Mann</v>
      </c>
      <c r="C310" s="14" t="s">
        <v>169</v>
      </c>
      <c r="D310" s="14" t="s">
        <v>255</v>
      </c>
      <c r="E310" s="14">
        <v>21</v>
      </c>
      <c r="F310" s="14" t="s">
        <v>288</v>
      </c>
      <c r="G310" s="14" t="s">
        <v>292</v>
      </c>
      <c r="H310" s="14" t="s">
        <v>358</v>
      </c>
      <c r="I310" s="14" t="s">
        <v>458</v>
      </c>
      <c r="J310" s="14" t="s">
        <v>807</v>
      </c>
      <c r="K310" s="15">
        <v>45064</v>
      </c>
      <c r="L310" s="14" t="s">
        <v>1307</v>
      </c>
      <c r="M310" s="14" t="s">
        <v>1537</v>
      </c>
      <c r="N310" s="14">
        <v>445.81</v>
      </c>
      <c r="O310" s="14">
        <v>1</v>
      </c>
      <c r="P310" s="14" t="s">
        <v>1550</v>
      </c>
      <c r="Q310" s="14" t="str">
        <f>_xlfn.IFS(Augmented_Data!$P310="FLAT8","8%",Augmented_Data!$P310="FLAT10","10%",Augmented_Data!$P310="FLAT15","15%",Augmented_Data!$P310="FLAT20","20%",Augmented_Data!$P310="DEL0","0 delivery charge")</f>
        <v>20%</v>
      </c>
      <c r="R310" s="14">
        <v>7</v>
      </c>
      <c r="S310" s="14" t="str">
        <f>_xlfn.IFS(Augmented_Data!U310-Augmented_Data!K310=Augmented_Data!$R310,"Intime",Augmented_Data!U310-Augmented_Data!K310&lt;Augmented_Data!R310,"Before Time",Augmented_Data!U310-Augmented_Data!K310&gt;Augmented_Data!R310,"Late")</f>
        <v>Intime</v>
      </c>
      <c r="T310" s="14">
        <v>41</v>
      </c>
      <c r="U310" s="15">
        <v>45071</v>
      </c>
      <c r="V310" s="14">
        <f>DATEDIF(Augmented_Data!$K310,Augmented_Data!$U310,"D")</f>
        <v>7</v>
      </c>
      <c r="W310" s="14" t="s">
        <v>1858</v>
      </c>
      <c r="X310" s="14">
        <f>Augmented_Data!$Z310-Augmented_Data!$AA310</f>
        <v>97.361999999999966</v>
      </c>
      <c r="Y310" s="14">
        <f>Augmented_Data!$N310*Augmented_Data!$O310</f>
        <v>445.81</v>
      </c>
      <c r="Z310" s="14">
        <f>Augmented_Data!$Y310+Augmented_Data!$T310</f>
        <v>486.81</v>
      </c>
      <c r="AA310" s="16">
        <f>IF(Augmented_Data!Q310="0 delivery charge",Augmented_Data!Z310-Augmented_Data!T310,Augmented_Data!Z310*(1-Augmented_Data!Q310))</f>
        <v>389.44800000000004</v>
      </c>
    </row>
    <row r="311" spans="1:27" x14ac:dyDescent="0.3">
      <c r="A311" s="11" t="s">
        <v>83</v>
      </c>
      <c r="B311" s="11" t="str">
        <f>_xlfn.CONCAT(Augmented_Data!$C311," ",Augmented_Data!$D311)</f>
        <v>Troy Gomez</v>
      </c>
      <c r="C311" s="11" t="s">
        <v>173</v>
      </c>
      <c r="D311" s="11" t="s">
        <v>260</v>
      </c>
      <c r="E311" s="11">
        <v>68</v>
      </c>
      <c r="F311" s="11" t="s">
        <v>288</v>
      </c>
      <c r="G311" s="11" t="s">
        <v>298</v>
      </c>
      <c r="H311" s="11" t="s">
        <v>364</v>
      </c>
      <c r="I311" s="11" t="s">
        <v>464</v>
      </c>
      <c r="J311" s="11" t="s">
        <v>808</v>
      </c>
      <c r="K311" s="12">
        <v>44973</v>
      </c>
      <c r="L311" s="11" t="s">
        <v>1308</v>
      </c>
      <c r="M311" s="11" t="s">
        <v>1534</v>
      </c>
      <c r="N311" s="11">
        <v>425.59</v>
      </c>
      <c r="O311" s="11">
        <v>2</v>
      </c>
      <c r="P311" s="11" t="s">
        <v>1547</v>
      </c>
      <c r="Q311" s="11" t="str">
        <f>_xlfn.IFS(Augmented_Data!$P311="FLAT8","8%",Augmented_Data!$P311="FLAT10","10%",Augmented_Data!$P311="FLAT15","15%",Augmented_Data!$P311="FLAT20","20%",Augmented_Data!$P311="DEL0","0 delivery charge")</f>
        <v>0 delivery charge</v>
      </c>
      <c r="R311" s="11">
        <v>2</v>
      </c>
      <c r="S311" s="11" t="str">
        <f>_xlfn.IFS(Augmented_Data!U311-Augmented_Data!K311=Augmented_Data!$R311,"Intime",Augmented_Data!U311-Augmented_Data!K311&lt;Augmented_Data!R311,"Before Time",Augmented_Data!U311-Augmented_Data!K311&gt;Augmented_Data!R311,"Late")</f>
        <v>Late</v>
      </c>
      <c r="T311" s="11">
        <v>67</v>
      </c>
      <c r="U311" s="12">
        <v>44977</v>
      </c>
      <c r="V311" s="11">
        <f>DATEDIF(Augmented_Data!$K311,Augmented_Data!$U311,"D")</f>
        <v>4</v>
      </c>
      <c r="W311" s="11" t="s">
        <v>1859</v>
      </c>
      <c r="X311" s="11">
        <f>Augmented_Data!$Z311-Augmented_Data!$AA311</f>
        <v>67</v>
      </c>
      <c r="Y311" s="11">
        <f>Augmented_Data!$N311*Augmented_Data!$O311</f>
        <v>851.18</v>
      </c>
      <c r="Z311" s="11">
        <f>Augmented_Data!$Y311+Augmented_Data!$T311</f>
        <v>918.18</v>
      </c>
      <c r="AA311" s="13">
        <f>IF(Augmented_Data!Q311="0 delivery charge",Augmented_Data!Z311-Augmented_Data!T311,Augmented_Data!Z311*(1-Augmented_Data!Q311))</f>
        <v>851.18</v>
      </c>
    </row>
    <row r="312" spans="1:27" x14ac:dyDescent="0.3">
      <c r="A312" s="14" t="s">
        <v>54</v>
      </c>
      <c r="B312" s="14" t="str">
        <f>_xlfn.CONCAT(Augmented_Data!$C312," ",Augmented_Data!$D312)</f>
        <v>Robert Castillo</v>
      </c>
      <c r="C312" s="14" t="s">
        <v>152</v>
      </c>
      <c r="D312" s="14" t="s">
        <v>235</v>
      </c>
      <c r="E312" s="14">
        <v>32</v>
      </c>
      <c r="F312" s="14" t="s">
        <v>289</v>
      </c>
      <c r="G312" s="14" t="s">
        <v>297</v>
      </c>
      <c r="H312" s="14" t="s">
        <v>335</v>
      </c>
      <c r="I312" s="14" t="s">
        <v>435</v>
      </c>
      <c r="J312" s="14" t="s">
        <v>809</v>
      </c>
      <c r="K312" s="15">
        <v>45515</v>
      </c>
      <c r="L312" s="14" t="s">
        <v>1309</v>
      </c>
      <c r="M312" s="14" t="s">
        <v>1534</v>
      </c>
      <c r="N312" s="14">
        <v>425.59</v>
      </c>
      <c r="O312" s="14">
        <v>1</v>
      </c>
      <c r="P312" s="14" t="s">
        <v>2047</v>
      </c>
      <c r="Q312" s="14" t="str">
        <f>_xlfn.IFS(Augmented_Data!$P312="FLAT8","8%",Augmented_Data!$P312="FLAT10","10%",Augmented_Data!$P312="FLAT15","15%",Augmented_Data!$P312="FLAT20","20%",Augmented_Data!$P312="DEL0","0 delivery charge")</f>
        <v>8%</v>
      </c>
      <c r="R312" s="14">
        <v>1</v>
      </c>
      <c r="S312" s="14" t="str">
        <f>_xlfn.IFS(Augmented_Data!U312-Augmented_Data!K312=Augmented_Data!$R312,"Intime",Augmented_Data!U312-Augmented_Data!K312&lt;Augmented_Data!R312,"Before Time",Augmented_Data!U312-Augmented_Data!K312&gt;Augmented_Data!R312,"Late")</f>
        <v>Late</v>
      </c>
      <c r="T312" s="14">
        <v>62</v>
      </c>
      <c r="U312" s="15">
        <v>45518</v>
      </c>
      <c r="V312" s="14">
        <f>DATEDIF(Augmented_Data!$K312,Augmented_Data!$U312,"D")</f>
        <v>3</v>
      </c>
      <c r="W312" s="14" t="s">
        <v>1860</v>
      </c>
      <c r="X312" s="14">
        <f>Augmented_Data!$Z312-Augmented_Data!$AA312</f>
        <v>39.007199999999955</v>
      </c>
      <c r="Y312" s="14">
        <f>Augmented_Data!$N312*Augmented_Data!$O312</f>
        <v>425.59</v>
      </c>
      <c r="Z312" s="14">
        <f>Augmented_Data!$Y312+Augmented_Data!$T312</f>
        <v>487.59</v>
      </c>
      <c r="AA312" s="16">
        <f>IF(Augmented_Data!Q312="0 delivery charge",Augmented_Data!Z312-Augmented_Data!T312,Augmented_Data!Z312*(1-Augmented_Data!Q312))</f>
        <v>448.58280000000002</v>
      </c>
    </row>
    <row r="313" spans="1:27" x14ac:dyDescent="0.3">
      <c r="A313" s="11" t="s">
        <v>90</v>
      </c>
      <c r="B313" s="11" t="str">
        <f>_xlfn.CONCAT(Augmented_Data!$C313," ",Augmented_Data!$D313)</f>
        <v>Mark Summers</v>
      </c>
      <c r="C313" s="11" t="s">
        <v>139</v>
      </c>
      <c r="D313" s="11" t="s">
        <v>266</v>
      </c>
      <c r="E313" s="11">
        <v>55</v>
      </c>
      <c r="F313" s="11" t="s">
        <v>289</v>
      </c>
      <c r="G313" s="11" t="s">
        <v>293</v>
      </c>
      <c r="H313" s="11" t="s">
        <v>371</v>
      </c>
      <c r="I313" s="11" t="s">
        <v>471</v>
      </c>
      <c r="J313" s="11" t="s">
        <v>914</v>
      </c>
      <c r="K313" s="12">
        <v>44976</v>
      </c>
      <c r="L313" s="11" t="s">
        <v>1414</v>
      </c>
      <c r="M313" s="11" t="s">
        <v>1529</v>
      </c>
      <c r="N313" s="11">
        <v>128.13999999999999</v>
      </c>
      <c r="O313" s="11">
        <v>1</v>
      </c>
      <c r="P313" s="11" t="s">
        <v>1549</v>
      </c>
      <c r="Q313" s="11" t="str">
        <f>_xlfn.IFS(Augmented_Data!$P313="FLAT8","8%",Augmented_Data!$P313="FLAT10","10%",Augmented_Data!$P313="FLAT15","15%",Augmented_Data!$P313="FLAT20","20%",Augmented_Data!$P313="DEL0","0 delivery charge")</f>
        <v>10%</v>
      </c>
      <c r="R313" s="11">
        <v>1</v>
      </c>
      <c r="S313" s="11" t="str">
        <f>_xlfn.IFS(Augmented_Data!U313-Augmented_Data!K313=Augmented_Data!$R313,"Intime",Augmented_Data!U313-Augmented_Data!K313&lt;Augmented_Data!R313,"Before Time",Augmented_Data!U313-Augmented_Data!K313&gt;Augmented_Data!R313,"Late")</f>
        <v>Late</v>
      </c>
      <c r="T313" s="11">
        <v>39</v>
      </c>
      <c r="U313" s="12">
        <v>44982</v>
      </c>
      <c r="V313" s="11">
        <f>DATEDIF(Augmented_Data!$K313,Augmented_Data!$U313,"D")</f>
        <v>6</v>
      </c>
      <c r="W313" s="11" t="s">
        <v>1895</v>
      </c>
      <c r="X313" s="11">
        <f>Augmented_Data!$Z313-Augmented_Data!$AA313</f>
        <v>16.713999999999999</v>
      </c>
      <c r="Y313" s="11">
        <f>Augmented_Data!$N313*Augmented_Data!$O313</f>
        <v>128.13999999999999</v>
      </c>
      <c r="Z313" s="11">
        <f>Augmented_Data!$Y313+Augmented_Data!$T313</f>
        <v>167.14</v>
      </c>
      <c r="AA313" s="13">
        <f>IF(Augmented_Data!Q313="0 delivery charge",Augmented_Data!Z313-Augmented_Data!T313,Augmented_Data!Z313*(1-Augmented_Data!Q313))</f>
        <v>150.42599999999999</v>
      </c>
    </row>
    <row r="314" spans="1:27" x14ac:dyDescent="0.3">
      <c r="A314" s="14" t="s">
        <v>110</v>
      </c>
      <c r="B314" s="14" t="str">
        <f>_xlfn.CONCAT(Augmented_Data!$C314," ",Augmented_Data!$D314)</f>
        <v>Brendan Kelly</v>
      </c>
      <c r="C314" s="14" t="s">
        <v>195</v>
      </c>
      <c r="D314" s="14" t="s">
        <v>200</v>
      </c>
      <c r="E314" s="14">
        <v>50</v>
      </c>
      <c r="F314" s="14" t="s">
        <v>290</v>
      </c>
      <c r="G314" s="14" t="s">
        <v>297</v>
      </c>
      <c r="H314" s="14" t="s">
        <v>391</v>
      </c>
      <c r="I314" s="14" t="s">
        <v>491</v>
      </c>
      <c r="J314" s="14" t="s">
        <v>896</v>
      </c>
      <c r="K314" s="15">
        <v>45684</v>
      </c>
      <c r="L314" s="14" t="s">
        <v>1396</v>
      </c>
      <c r="M314" s="14" t="s">
        <v>1539</v>
      </c>
      <c r="N314" s="14">
        <v>235.63</v>
      </c>
      <c r="O314" s="14">
        <v>1</v>
      </c>
      <c r="P314" s="14" t="s">
        <v>1550</v>
      </c>
      <c r="Q314" s="14" t="str">
        <f>_xlfn.IFS(Augmented_Data!$P314="FLAT8","8%",Augmented_Data!$P314="FLAT10","10%",Augmented_Data!$P314="FLAT15","15%",Augmented_Data!$P314="FLAT20","20%",Augmented_Data!$P314="DEL0","0 delivery charge")</f>
        <v>20%</v>
      </c>
      <c r="R314" s="14">
        <v>7</v>
      </c>
      <c r="S314" s="14" t="str">
        <f>_xlfn.IFS(Augmented_Data!U314-Augmented_Data!K314=Augmented_Data!$R314,"Intime",Augmented_Data!U314-Augmented_Data!K314&lt;Augmented_Data!R314,"Before Time",Augmented_Data!U314-Augmented_Data!K314&gt;Augmented_Data!R314,"Late")</f>
        <v>Before Time</v>
      </c>
      <c r="T314" s="14">
        <v>46</v>
      </c>
      <c r="U314" s="15">
        <v>45689</v>
      </c>
      <c r="V314" s="14">
        <f>DATEDIF(Augmented_Data!$K314,Augmented_Data!$U314,"D")</f>
        <v>5</v>
      </c>
      <c r="W314" s="14" t="s">
        <v>1945</v>
      </c>
      <c r="X314" s="14">
        <f>Augmented_Data!$Z314-Augmented_Data!$AA314</f>
        <v>56.325999999999993</v>
      </c>
      <c r="Y314" s="14">
        <f>Augmented_Data!$N314*Augmented_Data!$O314</f>
        <v>235.63</v>
      </c>
      <c r="Z314" s="14">
        <f>Augmented_Data!$Y314+Augmented_Data!$T314</f>
        <v>281.63</v>
      </c>
      <c r="AA314" s="16">
        <f>IF(Augmented_Data!Q314="0 delivery charge",Augmented_Data!Z314-Augmented_Data!T314,Augmented_Data!Z314*(1-Augmented_Data!Q314))</f>
        <v>225.304</v>
      </c>
    </row>
    <row r="315" spans="1:27" x14ac:dyDescent="0.3">
      <c r="A315" s="11" t="s">
        <v>72</v>
      </c>
      <c r="B315" s="11" t="str">
        <f>_xlfn.CONCAT(Augmented_Data!$C315," ",Augmented_Data!$D315)</f>
        <v>Lauren Lane</v>
      </c>
      <c r="C315" s="11" t="s">
        <v>144</v>
      </c>
      <c r="D315" s="11" t="s">
        <v>250</v>
      </c>
      <c r="E315" s="11">
        <v>30</v>
      </c>
      <c r="F315" s="11" t="s">
        <v>288</v>
      </c>
      <c r="G315" s="11" t="s">
        <v>298</v>
      </c>
      <c r="H315" s="11" t="s">
        <v>353</v>
      </c>
      <c r="I315" s="11" t="s">
        <v>453</v>
      </c>
      <c r="J315" s="11" t="s">
        <v>567</v>
      </c>
      <c r="K315" s="12">
        <v>45400</v>
      </c>
      <c r="L315" s="11" t="s">
        <v>1067</v>
      </c>
      <c r="M315" s="11" t="s">
        <v>1524</v>
      </c>
      <c r="N315" s="11">
        <v>157.63999999999999</v>
      </c>
      <c r="O315" s="11">
        <v>2</v>
      </c>
      <c r="P315" s="11" t="s">
        <v>1550</v>
      </c>
      <c r="Q315" s="11" t="str">
        <f>_xlfn.IFS(Augmented_Data!$P315="FLAT8","8%",Augmented_Data!$P315="FLAT10","10%",Augmented_Data!$P315="FLAT15","15%",Augmented_Data!$P315="FLAT20","20%",Augmented_Data!$P315="DEL0","0 delivery charge")</f>
        <v>20%</v>
      </c>
      <c r="R315" s="11">
        <v>1</v>
      </c>
      <c r="S315" s="11" t="str">
        <f>_xlfn.IFS(Augmented_Data!U315-Augmented_Data!K315=Augmented_Data!$R315,"Intime",Augmented_Data!U315-Augmented_Data!K315&lt;Augmented_Data!R315,"Before Time",Augmented_Data!U315-Augmented_Data!K315&gt;Augmented_Data!R315,"Late")</f>
        <v>Intime</v>
      </c>
      <c r="T315" s="11">
        <v>57</v>
      </c>
      <c r="U315" s="12">
        <v>45401</v>
      </c>
      <c r="V315" s="11">
        <f>DATEDIF(Augmented_Data!$K315,Augmented_Data!$U315,"D")</f>
        <v>1</v>
      </c>
      <c r="W315" s="11" t="s">
        <v>1619</v>
      </c>
      <c r="X315" s="11">
        <f>Augmented_Data!$Z315-Augmented_Data!$AA315</f>
        <v>74.45599999999996</v>
      </c>
      <c r="Y315" s="11">
        <f>Augmented_Data!$N315*Augmented_Data!$O315</f>
        <v>315.27999999999997</v>
      </c>
      <c r="Z315" s="11">
        <f>Augmented_Data!$Y315+Augmented_Data!$T315</f>
        <v>372.28</v>
      </c>
      <c r="AA315" s="13">
        <f>IF(Augmented_Data!Q315="0 delivery charge",Augmented_Data!Z315-Augmented_Data!T315,Augmented_Data!Z315*(1-Augmented_Data!Q315))</f>
        <v>297.82400000000001</v>
      </c>
    </row>
    <row r="316" spans="1:27" x14ac:dyDescent="0.3">
      <c r="A316" s="14" t="s">
        <v>99</v>
      </c>
      <c r="B316" s="14" t="str">
        <f>_xlfn.CONCAT(Augmented_Data!$C316," ",Augmented_Data!$D316)</f>
        <v>Amy Griffin</v>
      </c>
      <c r="C316" s="14" t="s">
        <v>131</v>
      </c>
      <c r="D316" s="14" t="s">
        <v>273</v>
      </c>
      <c r="E316" s="14">
        <v>29</v>
      </c>
      <c r="F316" s="14" t="s">
        <v>288</v>
      </c>
      <c r="G316" s="14" t="s">
        <v>292</v>
      </c>
      <c r="H316" s="14" t="s">
        <v>380</v>
      </c>
      <c r="I316" s="14" t="s">
        <v>480</v>
      </c>
      <c r="J316" s="14" t="s">
        <v>813</v>
      </c>
      <c r="K316" s="15">
        <v>45108</v>
      </c>
      <c r="L316" s="14" t="s">
        <v>1313</v>
      </c>
      <c r="M316" s="14" t="s">
        <v>1515</v>
      </c>
      <c r="N316" s="14">
        <v>132.97</v>
      </c>
      <c r="O316" s="14">
        <v>3</v>
      </c>
      <c r="P316" s="14" t="s">
        <v>1548</v>
      </c>
      <c r="Q316" s="14" t="str">
        <f>_xlfn.IFS(Augmented_Data!$P316="FLAT8","8%",Augmented_Data!$P316="FLAT10","10%",Augmented_Data!$P316="FLAT15","15%",Augmented_Data!$P316="FLAT20","20%",Augmented_Data!$P316="DEL0","0 delivery charge")</f>
        <v>15%</v>
      </c>
      <c r="R316" s="14">
        <v>3</v>
      </c>
      <c r="S316" s="14" t="str">
        <f>_xlfn.IFS(Augmented_Data!U316-Augmented_Data!K316=Augmented_Data!$R316,"Intime",Augmented_Data!U316-Augmented_Data!K316&lt;Augmented_Data!R316,"Before Time",Augmented_Data!U316-Augmented_Data!K316&gt;Augmented_Data!R316,"Late")</f>
        <v>Before Time</v>
      </c>
      <c r="T316" s="14">
        <v>36</v>
      </c>
      <c r="U316" s="15">
        <v>45110</v>
      </c>
      <c r="V316" s="14">
        <f>DATEDIF(Augmented_Data!$K316,Augmented_Data!$U316,"D")</f>
        <v>2</v>
      </c>
      <c r="W316" s="14" t="s">
        <v>1864</v>
      </c>
      <c r="X316" s="14">
        <f>Augmented_Data!$Z316-Augmented_Data!$AA316</f>
        <v>65.236499999999978</v>
      </c>
      <c r="Y316" s="14">
        <f>Augmented_Data!$N316*Augmented_Data!$O316</f>
        <v>398.90999999999997</v>
      </c>
      <c r="Z316" s="14">
        <f>Augmented_Data!$Y316+Augmented_Data!$T316</f>
        <v>434.90999999999997</v>
      </c>
      <c r="AA316" s="16">
        <f>IF(Augmented_Data!Q316="0 delivery charge",Augmented_Data!Z316-Augmented_Data!T316,Augmented_Data!Z316*(1-Augmented_Data!Q316))</f>
        <v>369.67349999999999</v>
      </c>
    </row>
    <row r="317" spans="1:27" x14ac:dyDescent="0.3">
      <c r="A317" s="11" t="s">
        <v>54</v>
      </c>
      <c r="B317" s="11" t="str">
        <f>_xlfn.CONCAT(Augmented_Data!$C317," ",Augmented_Data!$D317)</f>
        <v>Robert Castillo</v>
      </c>
      <c r="C317" s="11" t="s">
        <v>152</v>
      </c>
      <c r="D317" s="11" t="s">
        <v>235</v>
      </c>
      <c r="E317" s="11">
        <v>32</v>
      </c>
      <c r="F317" s="11" t="s">
        <v>289</v>
      </c>
      <c r="G317" s="11" t="s">
        <v>297</v>
      </c>
      <c r="H317" s="11" t="s">
        <v>335</v>
      </c>
      <c r="I317" s="11" t="s">
        <v>435</v>
      </c>
      <c r="J317" s="11" t="s">
        <v>814</v>
      </c>
      <c r="K317" s="12">
        <v>45143</v>
      </c>
      <c r="L317" s="11" t="s">
        <v>1314</v>
      </c>
      <c r="M317" s="11" t="s">
        <v>1525</v>
      </c>
      <c r="N317" s="11">
        <v>481.48</v>
      </c>
      <c r="O317" s="11">
        <v>1</v>
      </c>
      <c r="P317" s="11" t="s">
        <v>1548</v>
      </c>
      <c r="Q317" s="11" t="str">
        <f>_xlfn.IFS(Augmented_Data!$P317="FLAT8","8%",Augmented_Data!$P317="FLAT10","10%",Augmented_Data!$P317="FLAT15","15%",Augmented_Data!$P317="FLAT20","20%",Augmented_Data!$P317="DEL0","0 delivery charge")</f>
        <v>15%</v>
      </c>
      <c r="R317" s="11">
        <v>4</v>
      </c>
      <c r="S317" s="11" t="str">
        <f>_xlfn.IFS(Augmented_Data!U317-Augmented_Data!K317=Augmented_Data!$R317,"Intime",Augmented_Data!U317-Augmented_Data!K317&lt;Augmented_Data!R317,"Before Time",Augmented_Data!U317-Augmented_Data!K317&gt;Augmented_Data!R317,"Late")</f>
        <v>Late</v>
      </c>
      <c r="T317" s="11">
        <v>67</v>
      </c>
      <c r="U317" s="12">
        <v>45150</v>
      </c>
      <c r="V317" s="11">
        <f>DATEDIF(Augmented_Data!$K317,Augmented_Data!$U317,"D")</f>
        <v>7</v>
      </c>
      <c r="W317" s="11" t="s">
        <v>1865</v>
      </c>
      <c r="X317" s="11">
        <f>Augmented_Data!$Z317-Augmented_Data!$AA317</f>
        <v>82.271999999999991</v>
      </c>
      <c r="Y317" s="11">
        <f>Augmented_Data!$N317*Augmented_Data!$O317</f>
        <v>481.48</v>
      </c>
      <c r="Z317" s="11">
        <f>Augmented_Data!$Y317+Augmented_Data!$T317</f>
        <v>548.48</v>
      </c>
      <c r="AA317" s="13">
        <f>IF(Augmented_Data!Q317="0 delivery charge",Augmented_Data!Z317-Augmented_Data!T317,Augmented_Data!Z317*(1-Augmented_Data!Q317))</f>
        <v>466.20800000000003</v>
      </c>
    </row>
    <row r="318" spans="1:27" x14ac:dyDescent="0.3">
      <c r="A318" s="14" t="s">
        <v>30</v>
      </c>
      <c r="B318" s="14" t="str">
        <f>_xlfn.CONCAT(Augmented_Data!$C318," ",Augmented_Data!$D318)</f>
        <v>Kara Brennan</v>
      </c>
      <c r="C318" s="14" t="s">
        <v>130</v>
      </c>
      <c r="D318" s="14" t="s">
        <v>212</v>
      </c>
      <c r="E318" s="14">
        <v>25</v>
      </c>
      <c r="F318" s="14" t="s">
        <v>290</v>
      </c>
      <c r="G318" s="14" t="s">
        <v>294</v>
      </c>
      <c r="H318" s="14" t="s">
        <v>311</v>
      </c>
      <c r="I318" s="14" t="s">
        <v>411</v>
      </c>
      <c r="J318" s="14" t="s">
        <v>815</v>
      </c>
      <c r="K318" s="15">
        <v>45211</v>
      </c>
      <c r="L318" s="14" t="s">
        <v>1315</v>
      </c>
      <c r="M318" s="14" t="s">
        <v>1525</v>
      </c>
      <c r="N318" s="14">
        <v>481.48</v>
      </c>
      <c r="O318" s="14">
        <v>2</v>
      </c>
      <c r="P318" s="14" t="s">
        <v>1549</v>
      </c>
      <c r="Q318" s="14" t="str">
        <f>_xlfn.IFS(Augmented_Data!$P318="FLAT8","8%",Augmented_Data!$P318="FLAT10","10%",Augmented_Data!$P318="FLAT15","15%",Augmented_Data!$P318="FLAT20","20%",Augmented_Data!$P318="DEL0","0 delivery charge")</f>
        <v>10%</v>
      </c>
      <c r="R318" s="14">
        <v>7</v>
      </c>
      <c r="S318" s="14" t="str">
        <f>_xlfn.IFS(Augmented_Data!U318-Augmented_Data!K318=Augmented_Data!$R318,"Intime",Augmented_Data!U318-Augmented_Data!K318&lt;Augmented_Data!R318,"Before Time",Augmented_Data!U318-Augmented_Data!K318&gt;Augmented_Data!R318,"Late")</f>
        <v>Intime</v>
      </c>
      <c r="T318" s="14">
        <v>66</v>
      </c>
      <c r="U318" s="15">
        <v>45218</v>
      </c>
      <c r="V318" s="14">
        <f>DATEDIF(Augmented_Data!$K318,Augmented_Data!$U318,"D")</f>
        <v>7</v>
      </c>
      <c r="W318" s="14" t="s">
        <v>1866</v>
      </c>
      <c r="X318" s="14">
        <f>Augmented_Data!$Z318-Augmented_Data!$AA318</f>
        <v>102.89599999999996</v>
      </c>
      <c r="Y318" s="14">
        <f>Augmented_Data!$N318*Augmented_Data!$O318</f>
        <v>962.96</v>
      </c>
      <c r="Z318" s="14">
        <f>Augmented_Data!$Y318+Augmented_Data!$T318</f>
        <v>1028.96</v>
      </c>
      <c r="AA318" s="16">
        <f>IF(Augmented_Data!Q318="0 delivery charge",Augmented_Data!Z318-Augmented_Data!T318,Augmented_Data!Z318*(1-Augmented_Data!Q318))</f>
        <v>926.06400000000008</v>
      </c>
    </row>
    <row r="319" spans="1:27" x14ac:dyDescent="0.3">
      <c r="A319" s="11" t="s">
        <v>113</v>
      </c>
      <c r="B319" s="11" t="str">
        <f>_xlfn.CONCAT(Augmented_Data!$C319," ",Augmented_Data!$D319)</f>
        <v>William Richmond</v>
      </c>
      <c r="C319" s="11" t="s">
        <v>169</v>
      </c>
      <c r="D319" s="11" t="s">
        <v>285</v>
      </c>
      <c r="E319" s="11">
        <v>57</v>
      </c>
      <c r="F319" s="11" t="s">
        <v>290</v>
      </c>
      <c r="G319" s="11" t="s">
        <v>294</v>
      </c>
      <c r="H319" s="11" t="s">
        <v>394</v>
      </c>
      <c r="I319" s="11" t="s">
        <v>494</v>
      </c>
      <c r="J319" s="11" t="s">
        <v>816</v>
      </c>
      <c r="K319" s="12">
        <v>45147</v>
      </c>
      <c r="L319" s="11" t="s">
        <v>1316</v>
      </c>
      <c r="M319" s="11" t="s">
        <v>1522</v>
      </c>
      <c r="N319" s="11">
        <v>158.53</v>
      </c>
      <c r="O319" s="11">
        <v>5</v>
      </c>
      <c r="P319" s="11" t="s">
        <v>1550</v>
      </c>
      <c r="Q319" s="11" t="str">
        <f>_xlfn.IFS(Augmented_Data!$P319="FLAT8","8%",Augmented_Data!$P319="FLAT10","10%",Augmented_Data!$P319="FLAT15","15%",Augmented_Data!$P319="FLAT20","20%",Augmented_Data!$P319="DEL0","0 delivery charge")</f>
        <v>20%</v>
      </c>
      <c r="R319" s="11">
        <v>1</v>
      </c>
      <c r="S319" s="11" t="str">
        <f>_xlfn.IFS(Augmented_Data!U319-Augmented_Data!K319=Augmented_Data!$R319,"Intime",Augmented_Data!U319-Augmented_Data!K319&lt;Augmented_Data!R319,"Before Time",Augmented_Data!U319-Augmented_Data!K319&gt;Augmented_Data!R319,"Late")</f>
        <v>Late</v>
      </c>
      <c r="T319" s="11">
        <v>46</v>
      </c>
      <c r="U319" s="12">
        <v>45151</v>
      </c>
      <c r="V319" s="11">
        <f>DATEDIF(Augmented_Data!$K319,Augmented_Data!$U319,"D")</f>
        <v>4</v>
      </c>
      <c r="W319" s="11" t="s">
        <v>1867</v>
      </c>
      <c r="X319" s="11">
        <f>Augmented_Data!$Z319-Augmented_Data!$AA319</f>
        <v>167.7299999999999</v>
      </c>
      <c r="Y319" s="11">
        <f>Augmented_Data!$N319*Augmented_Data!$O319</f>
        <v>792.65</v>
      </c>
      <c r="Z319" s="11">
        <f>Augmented_Data!$Y319+Augmented_Data!$T319</f>
        <v>838.65</v>
      </c>
      <c r="AA319" s="13">
        <f>IF(Augmented_Data!Q319="0 delivery charge",Augmented_Data!Z319-Augmented_Data!T319,Augmented_Data!Z319*(1-Augmented_Data!Q319))</f>
        <v>670.92000000000007</v>
      </c>
    </row>
    <row r="320" spans="1:27" x14ac:dyDescent="0.3">
      <c r="A320" s="14" t="s">
        <v>109</v>
      </c>
      <c r="B320" s="14" t="str">
        <f>_xlfn.CONCAT(Augmented_Data!$C320," ",Augmented_Data!$D320)</f>
        <v>Jared Horn</v>
      </c>
      <c r="C320" s="14" t="s">
        <v>194</v>
      </c>
      <c r="D320" s="14" t="s">
        <v>283</v>
      </c>
      <c r="E320" s="14">
        <v>43</v>
      </c>
      <c r="F320" s="14" t="s">
        <v>288</v>
      </c>
      <c r="G320" s="14" t="s">
        <v>294</v>
      </c>
      <c r="H320" s="14" t="s">
        <v>390</v>
      </c>
      <c r="I320" s="14" t="s">
        <v>490</v>
      </c>
      <c r="J320" s="14" t="s">
        <v>817</v>
      </c>
      <c r="K320" s="15">
        <v>45637</v>
      </c>
      <c r="L320" s="14" t="s">
        <v>1317</v>
      </c>
      <c r="M320" s="14" t="s">
        <v>1511</v>
      </c>
      <c r="N320" s="14">
        <v>272.51</v>
      </c>
      <c r="O320" s="14">
        <v>2</v>
      </c>
      <c r="P320" s="14" t="s">
        <v>1550</v>
      </c>
      <c r="Q320" s="14" t="str">
        <f>_xlfn.IFS(Augmented_Data!$P320="FLAT8","8%",Augmented_Data!$P320="FLAT10","10%",Augmented_Data!$P320="FLAT15","15%",Augmented_Data!$P320="FLAT20","20%",Augmented_Data!$P320="DEL0","0 delivery charge")</f>
        <v>20%</v>
      </c>
      <c r="R320" s="14">
        <v>5</v>
      </c>
      <c r="S320" s="14" t="str">
        <f>_xlfn.IFS(Augmented_Data!U320-Augmented_Data!K320=Augmented_Data!$R320,"Intime",Augmented_Data!U320-Augmented_Data!K320&lt;Augmented_Data!R320,"Before Time",Augmented_Data!U320-Augmented_Data!K320&gt;Augmented_Data!R320,"Late")</f>
        <v>Before Time</v>
      </c>
      <c r="T320" s="14">
        <v>37</v>
      </c>
      <c r="U320" s="15">
        <v>45640</v>
      </c>
      <c r="V320" s="14">
        <f>DATEDIF(Augmented_Data!$K320,Augmented_Data!$U320,"D")</f>
        <v>3</v>
      </c>
      <c r="W320" s="14" t="s">
        <v>1868</v>
      </c>
      <c r="X320" s="14">
        <f>Augmented_Data!$Z320-Augmented_Data!$AA320</f>
        <v>116.404</v>
      </c>
      <c r="Y320" s="14">
        <f>Augmented_Data!$N320*Augmented_Data!$O320</f>
        <v>545.02</v>
      </c>
      <c r="Z320" s="14">
        <f>Augmented_Data!$Y320+Augmented_Data!$T320</f>
        <v>582.02</v>
      </c>
      <c r="AA320" s="16">
        <f>IF(Augmented_Data!Q320="0 delivery charge",Augmented_Data!Z320-Augmented_Data!T320,Augmented_Data!Z320*(1-Augmented_Data!Q320))</f>
        <v>465.61599999999999</v>
      </c>
    </row>
    <row r="321" spans="1:27" x14ac:dyDescent="0.3">
      <c r="A321" s="11" t="s">
        <v>110</v>
      </c>
      <c r="B321" s="11" t="str">
        <f>_xlfn.CONCAT(Augmented_Data!$C321," ",Augmented_Data!$D321)</f>
        <v>Brendan Kelly</v>
      </c>
      <c r="C321" s="11" t="s">
        <v>195</v>
      </c>
      <c r="D321" s="11" t="s">
        <v>200</v>
      </c>
      <c r="E321" s="11">
        <v>50</v>
      </c>
      <c r="F321" s="11" t="s">
        <v>290</v>
      </c>
      <c r="G321" s="11" t="s">
        <v>297</v>
      </c>
      <c r="H321" s="11" t="s">
        <v>391</v>
      </c>
      <c r="I321" s="11" t="s">
        <v>491</v>
      </c>
      <c r="J321" s="11" t="s">
        <v>946</v>
      </c>
      <c r="K321" s="12">
        <v>45656</v>
      </c>
      <c r="L321" s="11" t="s">
        <v>1445</v>
      </c>
      <c r="M321" s="11" t="s">
        <v>1512</v>
      </c>
      <c r="N321" s="11">
        <v>104.18</v>
      </c>
      <c r="O321" s="11">
        <v>2</v>
      </c>
      <c r="P321" s="11" t="s">
        <v>1548</v>
      </c>
      <c r="Q321" s="11" t="str">
        <f>_xlfn.IFS(Augmented_Data!$P321="FLAT8","8%",Augmented_Data!$P321="FLAT10","10%",Augmented_Data!$P321="FLAT15","15%",Augmented_Data!$P321="FLAT20","20%",Augmented_Data!$P321="DEL0","0 delivery charge")</f>
        <v>15%</v>
      </c>
      <c r="R321" s="11">
        <v>5</v>
      </c>
      <c r="S321" s="11" t="str">
        <f>_xlfn.IFS(Augmented_Data!U321-Augmented_Data!K321=Augmented_Data!$R321,"Intime",Augmented_Data!U321-Augmented_Data!K321&lt;Augmented_Data!R321,"Before Time",Augmented_Data!U321-Augmented_Data!K321&gt;Augmented_Data!R321,"Late")</f>
        <v>Before Time</v>
      </c>
      <c r="T321" s="11">
        <v>65</v>
      </c>
      <c r="U321" s="12">
        <v>45657</v>
      </c>
      <c r="V321" s="11">
        <f>DATEDIF(Augmented_Data!$K321,Augmented_Data!$U321,"D")</f>
        <v>1</v>
      </c>
      <c r="W321" s="11" t="s">
        <v>1994</v>
      </c>
      <c r="X321" s="11">
        <f>Augmented_Data!$Z321-Augmented_Data!$AA321</f>
        <v>41.004000000000019</v>
      </c>
      <c r="Y321" s="11">
        <f>Augmented_Data!$N321*Augmented_Data!$O321</f>
        <v>208.36</v>
      </c>
      <c r="Z321" s="11">
        <f>Augmented_Data!$Y321+Augmented_Data!$T321</f>
        <v>273.36</v>
      </c>
      <c r="AA321" s="13">
        <f>IF(Augmented_Data!Q321="0 delivery charge",Augmented_Data!Z321-Augmented_Data!T321,Augmented_Data!Z321*(1-Augmented_Data!Q321))</f>
        <v>232.35599999999999</v>
      </c>
    </row>
    <row r="322" spans="1:27" x14ac:dyDescent="0.3">
      <c r="A322" s="14" t="s">
        <v>33</v>
      </c>
      <c r="B322" s="14" t="str">
        <f>_xlfn.CONCAT(Augmented_Data!$C322," ",Augmented_Data!$D322)</f>
        <v>Erin Miller</v>
      </c>
      <c r="C322" s="14" t="s">
        <v>133</v>
      </c>
      <c r="D322" s="14" t="s">
        <v>215</v>
      </c>
      <c r="E322" s="14">
        <v>46</v>
      </c>
      <c r="F322" s="14" t="s">
        <v>288</v>
      </c>
      <c r="G322" s="14" t="s">
        <v>297</v>
      </c>
      <c r="H322" s="14" t="s">
        <v>314</v>
      </c>
      <c r="I322" s="14" t="s">
        <v>414</v>
      </c>
      <c r="J322" s="14" t="s">
        <v>819</v>
      </c>
      <c r="K322" s="15">
        <v>45479</v>
      </c>
      <c r="L322" s="14" t="s">
        <v>1319</v>
      </c>
      <c r="M322" s="14" t="s">
        <v>1542</v>
      </c>
      <c r="N322" s="14">
        <v>20</v>
      </c>
      <c r="O322" s="14">
        <v>2</v>
      </c>
      <c r="P322" s="14" t="s">
        <v>1549</v>
      </c>
      <c r="Q322" s="14" t="str">
        <f>_xlfn.IFS(Augmented_Data!$P322="FLAT8","8%",Augmented_Data!$P322="FLAT10","10%",Augmented_Data!$P322="FLAT15","15%",Augmented_Data!$P322="FLAT20","20%",Augmented_Data!$P322="DEL0","0 delivery charge")</f>
        <v>10%</v>
      </c>
      <c r="R322" s="14">
        <v>3</v>
      </c>
      <c r="S322" s="14" t="str">
        <f>_xlfn.IFS(Augmented_Data!U322-Augmented_Data!K322=Augmented_Data!$R322,"Intime",Augmented_Data!U322-Augmented_Data!K322&lt;Augmented_Data!R322,"Before Time",Augmented_Data!U322-Augmented_Data!K322&gt;Augmented_Data!R322,"Late")</f>
        <v>Late</v>
      </c>
      <c r="T322" s="14">
        <v>38</v>
      </c>
      <c r="U322" s="15">
        <v>45485</v>
      </c>
      <c r="V322" s="14">
        <f>DATEDIF(Augmented_Data!$K322,Augmented_Data!$U322,"D")</f>
        <v>6</v>
      </c>
      <c r="W322" s="14" t="s">
        <v>1870</v>
      </c>
      <c r="X322" s="14">
        <f>Augmented_Data!$Z322-Augmented_Data!$AA322</f>
        <v>7.7999999999999972</v>
      </c>
      <c r="Y322" s="14">
        <f>Augmented_Data!$N322*Augmented_Data!$O322</f>
        <v>40</v>
      </c>
      <c r="Z322" s="14">
        <f>Augmented_Data!$Y322+Augmented_Data!$T322</f>
        <v>78</v>
      </c>
      <c r="AA322" s="16">
        <f>IF(Augmented_Data!Q322="0 delivery charge",Augmented_Data!Z322-Augmented_Data!T322,Augmented_Data!Z322*(1-Augmented_Data!Q322))</f>
        <v>70.2</v>
      </c>
    </row>
    <row r="323" spans="1:27" x14ac:dyDescent="0.3">
      <c r="A323" s="11" t="s">
        <v>61</v>
      </c>
      <c r="B323" s="11" t="str">
        <f>_xlfn.CONCAT(Augmented_Data!$C323," ",Augmented_Data!$D323)</f>
        <v>Mary Knight</v>
      </c>
      <c r="C323" s="11" t="s">
        <v>158</v>
      </c>
      <c r="D323" s="11" t="s">
        <v>242</v>
      </c>
      <c r="E323" s="11">
        <v>28</v>
      </c>
      <c r="F323" s="11" t="s">
        <v>290</v>
      </c>
      <c r="G323" s="11" t="s">
        <v>295</v>
      </c>
      <c r="H323" s="11" t="s">
        <v>342</v>
      </c>
      <c r="I323" s="11" t="s">
        <v>442</v>
      </c>
      <c r="J323" s="11" t="s">
        <v>820</v>
      </c>
      <c r="K323" s="12">
        <v>45501</v>
      </c>
      <c r="L323" s="11" t="s">
        <v>1320</v>
      </c>
      <c r="M323" s="11" t="s">
        <v>1540</v>
      </c>
      <c r="N323" s="11">
        <v>424.82</v>
      </c>
      <c r="O323" s="11">
        <v>1</v>
      </c>
      <c r="P323" s="11" t="s">
        <v>2047</v>
      </c>
      <c r="Q323" s="11" t="str">
        <f>_xlfn.IFS(Augmented_Data!$P323="FLAT8","8%",Augmented_Data!$P323="FLAT10","10%",Augmented_Data!$P323="FLAT15","15%",Augmented_Data!$P323="FLAT20","20%",Augmented_Data!$P323="DEL0","0 delivery charge")</f>
        <v>8%</v>
      </c>
      <c r="R323" s="11">
        <v>5</v>
      </c>
      <c r="S323" s="11" t="str">
        <f>_xlfn.IFS(Augmented_Data!U323-Augmented_Data!K323=Augmented_Data!$R323,"Intime",Augmented_Data!U323-Augmented_Data!K323&lt;Augmented_Data!R323,"Before Time",Augmented_Data!U323-Augmented_Data!K323&gt;Augmented_Data!R323,"Late")</f>
        <v>Late</v>
      </c>
      <c r="T323" s="11">
        <v>49</v>
      </c>
      <c r="U323" s="12">
        <v>45508</v>
      </c>
      <c r="V323" s="11">
        <f>DATEDIF(Augmented_Data!$K323,Augmented_Data!$U323,"D")</f>
        <v>7</v>
      </c>
      <c r="W323" s="11" t="s">
        <v>1871</v>
      </c>
      <c r="X323" s="11">
        <f>Augmented_Data!$Z323-Augmented_Data!$AA323</f>
        <v>37.905599999999993</v>
      </c>
      <c r="Y323" s="11">
        <f>Augmented_Data!$N323*Augmented_Data!$O323</f>
        <v>424.82</v>
      </c>
      <c r="Z323" s="11">
        <f>Augmented_Data!$Y323+Augmented_Data!$T323</f>
        <v>473.82</v>
      </c>
      <c r="AA323" s="13">
        <f>IF(Augmented_Data!Q323="0 delivery charge",Augmented_Data!Z323-Augmented_Data!T323,Augmented_Data!Z323*(1-Augmented_Data!Q323))</f>
        <v>435.9144</v>
      </c>
    </row>
    <row r="324" spans="1:27" x14ac:dyDescent="0.3">
      <c r="A324" s="14" t="s">
        <v>108</v>
      </c>
      <c r="B324" s="14" t="str">
        <f>_xlfn.CONCAT(Augmented_Data!$C324," ",Augmented_Data!$D324)</f>
        <v>Megan Hunt</v>
      </c>
      <c r="C324" s="14" t="s">
        <v>193</v>
      </c>
      <c r="D324" s="14" t="s">
        <v>282</v>
      </c>
      <c r="E324" s="14">
        <v>63</v>
      </c>
      <c r="F324" s="14" t="s">
        <v>288</v>
      </c>
      <c r="G324" s="14" t="s">
        <v>297</v>
      </c>
      <c r="H324" s="14" t="s">
        <v>389</v>
      </c>
      <c r="I324" s="14" t="s">
        <v>489</v>
      </c>
      <c r="J324" s="14" t="s">
        <v>821</v>
      </c>
      <c r="K324" s="15">
        <v>45107</v>
      </c>
      <c r="L324" s="14" t="s">
        <v>1321</v>
      </c>
      <c r="M324" s="14" t="s">
        <v>1510</v>
      </c>
      <c r="N324" s="14">
        <v>220.27</v>
      </c>
      <c r="O324" s="14">
        <v>5</v>
      </c>
      <c r="P324" s="14" t="s">
        <v>1550</v>
      </c>
      <c r="Q324" s="14" t="str">
        <f>_xlfn.IFS(Augmented_Data!$P324="FLAT8","8%",Augmented_Data!$P324="FLAT10","10%",Augmented_Data!$P324="FLAT15","15%",Augmented_Data!$P324="FLAT20","20%",Augmented_Data!$P324="DEL0","0 delivery charge")</f>
        <v>20%</v>
      </c>
      <c r="R324" s="14">
        <v>6</v>
      </c>
      <c r="S324" s="14" t="str">
        <f>_xlfn.IFS(Augmented_Data!U324-Augmented_Data!K324=Augmented_Data!$R324,"Intime",Augmented_Data!U324-Augmented_Data!K324&lt;Augmented_Data!R324,"Before Time",Augmented_Data!U324-Augmented_Data!K324&gt;Augmented_Data!R324,"Late")</f>
        <v>Before Time</v>
      </c>
      <c r="T324" s="14">
        <v>57</v>
      </c>
      <c r="U324" s="15">
        <v>45109</v>
      </c>
      <c r="V324" s="14">
        <f>DATEDIF(Augmented_Data!$K324,Augmented_Data!$U324,"D")</f>
        <v>2</v>
      </c>
      <c r="W324" s="14" t="s">
        <v>1872</v>
      </c>
      <c r="X324" s="14">
        <f>Augmented_Data!$Z324-Augmented_Data!$AA324</f>
        <v>231.66999999999996</v>
      </c>
      <c r="Y324" s="14">
        <f>Augmented_Data!$N324*Augmented_Data!$O324</f>
        <v>1101.3500000000001</v>
      </c>
      <c r="Z324" s="14">
        <f>Augmented_Data!$Y324+Augmented_Data!$T324</f>
        <v>1158.3500000000001</v>
      </c>
      <c r="AA324" s="16">
        <f>IF(Augmented_Data!Q324="0 delivery charge",Augmented_Data!Z324-Augmented_Data!T324,Augmented_Data!Z324*(1-Augmented_Data!Q324))</f>
        <v>926.68000000000018</v>
      </c>
    </row>
    <row r="325" spans="1:27" x14ac:dyDescent="0.3">
      <c r="A325" s="11" t="s">
        <v>58</v>
      </c>
      <c r="B325" s="11" t="str">
        <f>_xlfn.CONCAT(Augmented_Data!$C325," ",Augmented_Data!$D325)</f>
        <v>Jason Lopez</v>
      </c>
      <c r="C325" s="11" t="s">
        <v>140</v>
      </c>
      <c r="D325" s="11" t="s">
        <v>239</v>
      </c>
      <c r="E325" s="11">
        <v>40</v>
      </c>
      <c r="F325" s="11" t="s">
        <v>290</v>
      </c>
      <c r="G325" s="11" t="s">
        <v>297</v>
      </c>
      <c r="H325" s="11" t="s">
        <v>339</v>
      </c>
      <c r="I325" s="11" t="s">
        <v>439</v>
      </c>
      <c r="J325" s="11" t="s">
        <v>822</v>
      </c>
      <c r="K325" s="12">
        <v>45527</v>
      </c>
      <c r="L325" s="11" t="s">
        <v>1322</v>
      </c>
      <c r="M325" s="11" t="s">
        <v>1534</v>
      </c>
      <c r="N325" s="11">
        <v>425.59</v>
      </c>
      <c r="O325" s="11">
        <v>5</v>
      </c>
      <c r="P325" s="11" t="s">
        <v>1547</v>
      </c>
      <c r="Q325" s="11" t="str">
        <f>_xlfn.IFS(Augmented_Data!$P325="FLAT8","8%",Augmented_Data!$P325="FLAT10","10%",Augmented_Data!$P325="FLAT15","15%",Augmented_Data!$P325="FLAT20","20%",Augmented_Data!$P325="DEL0","0 delivery charge")</f>
        <v>0 delivery charge</v>
      </c>
      <c r="R325" s="11">
        <v>4</v>
      </c>
      <c r="S325" s="11" t="str">
        <f>_xlfn.IFS(Augmented_Data!U325-Augmented_Data!K325=Augmented_Data!$R325,"Intime",Augmented_Data!U325-Augmented_Data!K325&lt;Augmented_Data!R325,"Before Time",Augmented_Data!U325-Augmented_Data!K325&gt;Augmented_Data!R325,"Late")</f>
        <v>Intime</v>
      </c>
      <c r="T325" s="11">
        <v>43</v>
      </c>
      <c r="U325" s="12">
        <v>45531</v>
      </c>
      <c r="V325" s="11">
        <f>DATEDIF(Augmented_Data!$K325,Augmented_Data!$U325,"D")</f>
        <v>4</v>
      </c>
      <c r="W325" s="11" t="s">
        <v>1873</v>
      </c>
      <c r="X325" s="11">
        <f>Augmented_Data!$Z325-Augmented_Data!$AA325</f>
        <v>43</v>
      </c>
      <c r="Y325" s="11">
        <f>Augmented_Data!$N325*Augmented_Data!$O325</f>
        <v>2127.9499999999998</v>
      </c>
      <c r="Z325" s="11">
        <f>Augmented_Data!$Y325+Augmented_Data!$T325</f>
        <v>2170.9499999999998</v>
      </c>
      <c r="AA325" s="13">
        <f>IF(Augmented_Data!Q325="0 delivery charge",Augmented_Data!Z325-Augmented_Data!T325,Augmented_Data!Z325*(1-Augmented_Data!Q325))</f>
        <v>2127.9499999999998</v>
      </c>
    </row>
    <row r="326" spans="1:27" x14ac:dyDescent="0.3">
      <c r="A326" s="14" t="s">
        <v>72</v>
      </c>
      <c r="B326" s="14" t="str">
        <f>_xlfn.CONCAT(Augmented_Data!$C326," ",Augmented_Data!$D326)</f>
        <v>Lauren Lane</v>
      </c>
      <c r="C326" s="14" t="s">
        <v>144</v>
      </c>
      <c r="D326" s="14" t="s">
        <v>250</v>
      </c>
      <c r="E326" s="14">
        <v>30</v>
      </c>
      <c r="F326" s="14" t="s">
        <v>288</v>
      </c>
      <c r="G326" s="14" t="s">
        <v>298</v>
      </c>
      <c r="H326" s="14" t="s">
        <v>353</v>
      </c>
      <c r="I326" s="14" t="s">
        <v>453</v>
      </c>
      <c r="J326" s="14" t="s">
        <v>627</v>
      </c>
      <c r="K326" s="15">
        <v>45420</v>
      </c>
      <c r="L326" s="14" t="s">
        <v>1127</v>
      </c>
      <c r="M326" s="14" t="s">
        <v>1505</v>
      </c>
      <c r="N326" s="14">
        <v>48.45</v>
      </c>
      <c r="O326" s="14">
        <v>3</v>
      </c>
      <c r="P326" s="14" t="s">
        <v>1549</v>
      </c>
      <c r="Q326" s="14" t="str">
        <f>_xlfn.IFS(Augmented_Data!$P326="FLAT8","8%",Augmented_Data!$P326="FLAT10","10%",Augmented_Data!$P326="FLAT15","15%",Augmented_Data!$P326="FLAT20","20%",Augmented_Data!$P326="DEL0","0 delivery charge")</f>
        <v>10%</v>
      </c>
      <c r="R326" s="14">
        <v>2</v>
      </c>
      <c r="S326" s="14" t="str">
        <f>_xlfn.IFS(Augmented_Data!U326-Augmented_Data!K326=Augmented_Data!$R326,"Intime",Augmented_Data!U326-Augmented_Data!K326&lt;Augmented_Data!R326,"Before Time",Augmented_Data!U326-Augmented_Data!K326&gt;Augmented_Data!R326,"Late")</f>
        <v>Intime</v>
      </c>
      <c r="T326" s="14">
        <v>63</v>
      </c>
      <c r="U326" s="15">
        <v>45422</v>
      </c>
      <c r="V326" s="14">
        <f>DATEDIF(Augmented_Data!$K326,Augmented_Data!$U326,"D")</f>
        <v>2</v>
      </c>
      <c r="W326" s="14" t="s">
        <v>1679</v>
      </c>
      <c r="X326" s="14">
        <f>Augmented_Data!$Z326-Augmented_Data!$AA326</f>
        <v>20.835000000000008</v>
      </c>
      <c r="Y326" s="14">
        <f>Augmented_Data!$N326*Augmented_Data!$O326</f>
        <v>145.35000000000002</v>
      </c>
      <c r="Z326" s="14">
        <f>Augmented_Data!$Y326+Augmented_Data!$T326</f>
        <v>208.35000000000002</v>
      </c>
      <c r="AA326" s="16">
        <f>IF(Augmented_Data!Q326="0 delivery charge",Augmented_Data!Z326-Augmented_Data!T326,Augmented_Data!Z326*(1-Augmented_Data!Q326))</f>
        <v>187.51500000000001</v>
      </c>
    </row>
    <row r="327" spans="1:27" x14ac:dyDescent="0.3">
      <c r="A327" s="11" t="s">
        <v>20</v>
      </c>
      <c r="B327" s="11" t="str">
        <f>_xlfn.CONCAT(Augmented_Data!$C327," ",Augmented_Data!$D327)</f>
        <v>Hannah Gutierrez</v>
      </c>
      <c r="C327" s="11" t="s">
        <v>120</v>
      </c>
      <c r="D327" s="11" t="s">
        <v>202</v>
      </c>
      <c r="E327" s="11">
        <v>55</v>
      </c>
      <c r="F327" s="11" t="s">
        <v>289</v>
      </c>
      <c r="G327" s="11" t="s">
        <v>293</v>
      </c>
      <c r="H327" s="11" t="s">
        <v>301</v>
      </c>
      <c r="I327" s="11" t="s">
        <v>401</v>
      </c>
      <c r="J327" s="11" t="s">
        <v>603</v>
      </c>
      <c r="K327" s="12">
        <v>45186</v>
      </c>
      <c r="L327" s="11" t="s">
        <v>1103</v>
      </c>
      <c r="M327" s="11" t="s">
        <v>1512</v>
      </c>
      <c r="N327" s="11">
        <v>104.18</v>
      </c>
      <c r="O327" s="11">
        <v>2</v>
      </c>
      <c r="P327" s="11" t="s">
        <v>2047</v>
      </c>
      <c r="Q327" s="11" t="str">
        <f>_xlfn.IFS(Augmented_Data!$P327="FLAT8","8%",Augmented_Data!$P327="FLAT10","10%",Augmented_Data!$P327="FLAT15","15%",Augmented_Data!$P327="FLAT20","20%",Augmented_Data!$P327="DEL0","0 delivery charge")</f>
        <v>8%</v>
      </c>
      <c r="R327" s="11">
        <v>4</v>
      </c>
      <c r="S327" s="11" t="str">
        <f>_xlfn.IFS(Augmented_Data!U327-Augmented_Data!K327=Augmented_Data!$R327,"Intime",Augmented_Data!U327-Augmented_Data!K327&lt;Augmented_Data!R327,"Before Time",Augmented_Data!U327-Augmented_Data!K327&gt;Augmented_Data!R327,"Late")</f>
        <v>Intime</v>
      </c>
      <c r="T327" s="11">
        <v>43</v>
      </c>
      <c r="U327" s="12">
        <v>45190</v>
      </c>
      <c r="V327" s="11">
        <f>DATEDIF(Augmented_Data!$K327,Augmented_Data!$U327,"D")</f>
        <v>4</v>
      </c>
      <c r="W327" s="11" t="s">
        <v>1655</v>
      </c>
      <c r="X327" s="11">
        <f>Augmented_Data!$Z327-Augmented_Data!$AA327</f>
        <v>20.108800000000002</v>
      </c>
      <c r="Y327" s="11">
        <f>Augmented_Data!$N327*Augmented_Data!$O327</f>
        <v>208.36</v>
      </c>
      <c r="Z327" s="11">
        <f>Augmented_Data!$Y327+Augmented_Data!$T327</f>
        <v>251.36</v>
      </c>
      <c r="AA327" s="13">
        <f>IF(Augmented_Data!Q327="0 delivery charge",Augmented_Data!Z327-Augmented_Data!T327,Augmented_Data!Z327*(1-Augmented_Data!Q327))</f>
        <v>231.25120000000001</v>
      </c>
    </row>
    <row r="328" spans="1:27" x14ac:dyDescent="0.3">
      <c r="A328" s="14" t="s">
        <v>107</v>
      </c>
      <c r="B328" s="14" t="str">
        <f>_xlfn.CONCAT(Augmented_Data!$C328," ",Augmented_Data!$D328)</f>
        <v>Angela Casey</v>
      </c>
      <c r="C328" s="14" t="s">
        <v>122</v>
      </c>
      <c r="D328" s="14" t="s">
        <v>281</v>
      </c>
      <c r="E328" s="14">
        <v>40</v>
      </c>
      <c r="F328" s="14" t="s">
        <v>288</v>
      </c>
      <c r="G328" s="14" t="s">
        <v>295</v>
      </c>
      <c r="H328" s="14" t="s">
        <v>388</v>
      </c>
      <c r="I328" s="14" t="s">
        <v>488</v>
      </c>
      <c r="J328" s="14" t="s">
        <v>825</v>
      </c>
      <c r="K328" s="15">
        <v>45195</v>
      </c>
      <c r="L328" s="14" t="s">
        <v>1325</v>
      </c>
      <c r="M328" s="14" t="s">
        <v>1537</v>
      </c>
      <c r="N328" s="14">
        <v>445.81</v>
      </c>
      <c r="O328" s="14">
        <v>1</v>
      </c>
      <c r="P328" s="14" t="s">
        <v>1547</v>
      </c>
      <c r="Q328" s="14" t="str">
        <f>_xlfn.IFS(Augmented_Data!$P328="FLAT8","8%",Augmented_Data!$P328="FLAT10","10%",Augmented_Data!$P328="FLAT15","15%",Augmented_Data!$P328="FLAT20","20%",Augmented_Data!$P328="DEL0","0 delivery charge")</f>
        <v>0 delivery charge</v>
      </c>
      <c r="R328" s="14">
        <v>1</v>
      </c>
      <c r="S328" s="14" t="str">
        <f>_xlfn.IFS(Augmented_Data!U328-Augmented_Data!K328=Augmented_Data!$R328,"Intime",Augmented_Data!U328-Augmented_Data!K328&lt;Augmented_Data!R328,"Before Time",Augmented_Data!U328-Augmented_Data!K328&gt;Augmented_Data!R328,"Late")</f>
        <v>Late</v>
      </c>
      <c r="T328" s="14">
        <v>51</v>
      </c>
      <c r="U328" s="15">
        <v>45198</v>
      </c>
      <c r="V328" s="14">
        <f>DATEDIF(Augmented_Data!$K328,Augmented_Data!$U328,"D")</f>
        <v>3</v>
      </c>
      <c r="W328" s="14" t="s">
        <v>1876</v>
      </c>
      <c r="X328" s="14">
        <f>Augmented_Data!$Z328-Augmented_Data!$AA328</f>
        <v>51</v>
      </c>
      <c r="Y328" s="14">
        <f>Augmented_Data!$N328*Augmented_Data!$O328</f>
        <v>445.81</v>
      </c>
      <c r="Z328" s="14">
        <f>Augmented_Data!$Y328+Augmented_Data!$T328</f>
        <v>496.81</v>
      </c>
      <c r="AA328" s="16">
        <f>IF(Augmented_Data!Q328="0 delivery charge",Augmented_Data!Z328-Augmented_Data!T328,Augmented_Data!Z328*(1-Augmented_Data!Q328))</f>
        <v>445.81</v>
      </c>
    </row>
    <row r="329" spans="1:27" x14ac:dyDescent="0.3">
      <c r="A329" s="11" t="s">
        <v>112</v>
      </c>
      <c r="B329" s="11" t="str">
        <f>_xlfn.CONCAT(Augmented_Data!$C329," ",Augmented_Data!$D329)</f>
        <v>Sarah Benson</v>
      </c>
      <c r="C329" s="11" t="s">
        <v>164</v>
      </c>
      <c r="D329" s="11" t="s">
        <v>284</v>
      </c>
      <c r="E329" s="11">
        <v>40</v>
      </c>
      <c r="F329" s="11" t="s">
        <v>290</v>
      </c>
      <c r="G329" s="11" t="s">
        <v>298</v>
      </c>
      <c r="H329" s="11" t="s">
        <v>393</v>
      </c>
      <c r="I329" s="11" t="s">
        <v>493</v>
      </c>
      <c r="J329" s="11" t="s">
        <v>826</v>
      </c>
      <c r="K329" s="12">
        <v>45573</v>
      </c>
      <c r="L329" s="11" t="s">
        <v>1326</v>
      </c>
      <c r="M329" s="11" t="s">
        <v>1515</v>
      </c>
      <c r="N329" s="11">
        <v>132.97</v>
      </c>
      <c r="O329" s="11">
        <v>2</v>
      </c>
      <c r="P329" s="11" t="s">
        <v>1549</v>
      </c>
      <c r="Q329" s="11" t="str">
        <f>_xlfn.IFS(Augmented_Data!$P329="FLAT8","8%",Augmented_Data!$P329="FLAT10","10%",Augmented_Data!$P329="FLAT15","15%",Augmented_Data!$P329="FLAT20","20%",Augmented_Data!$P329="DEL0","0 delivery charge")</f>
        <v>10%</v>
      </c>
      <c r="R329" s="11">
        <v>6</v>
      </c>
      <c r="S329" s="11" t="str">
        <f>_xlfn.IFS(Augmented_Data!U329-Augmented_Data!K329=Augmented_Data!$R329,"Intime",Augmented_Data!U329-Augmented_Data!K329&lt;Augmented_Data!R329,"Before Time",Augmented_Data!U329-Augmented_Data!K329&gt;Augmented_Data!R329,"Late")</f>
        <v>Before Time</v>
      </c>
      <c r="T329" s="11">
        <v>69</v>
      </c>
      <c r="U329" s="12">
        <v>45578</v>
      </c>
      <c r="V329" s="11">
        <f>DATEDIF(Augmented_Data!$K329,Augmented_Data!$U329,"D")</f>
        <v>5</v>
      </c>
      <c r="W329" s="11" t="s">
        <v>1877</v>
      </c>
      <c r="X329" s="11">
        <f>Augmented_Data!$Z329-Augmented_Data!$AA329</f>
        <v>33.493999999999971</v>
      </c>
      <c r="Y329" s="11">
        <f>Augmented_Data!$N329*Augmented_Data!$O329</f>
        <v>265.94</v>
      </c>
      <c r="Z329" s="11">
        <f>Augmented_Data!$Y329+Augmented_Data!$T329</f>
        <v>334.94</v>
      </c>
      <c r="AA329" s="13">
        <f>IF(Augmented_Data!Q329="0 delivery charge",Augmented_Data!Z329-Augmented_Data!T329,Augmented_Data!Z329*(1-Augmented_Data!Q329))</f>
        <v>301.44600000000003</v>
      </c>
    </row>
    <row r="330" spans="1:27" x14ac:dyDescent="0.3">
      <c r="A330" s="14" t="s">
        <v>20</v>
      </c>
      <c r="B330" s="14" t="str">
        <f>_xlfn.CONCAT(Augmented_Data!$C330," ",Augmented_Data!$D330)</f>
        <v>Hannah Gutierrez</v>
      </c>
      <c r="C330" s="14" t="s">
        <v>120</v>
      </c>
      <c r="D330" s="14" t="s">
        <v>202</v>
      </c>
      <c r="E330" s="14">
        <v>55</v>
      </c>
      <c r="F330" s="14" t="s">
        <v>289</v>
      </c>
      <c r="G330" s="14" t="s">
        <v>293</v>
      </c>
      <c r="H330" s="14" t="s">
        <v>301</v>
      </c>
      <c r="I330" s="14" t="s">
        <v>401</v>
      </c>
      <c r="J330" s="14" t="s">
        <v>623</v>
      </c>
      <c r="K330" s="15">
        <v>45384</v>
      </c>
      <c r="L330" s="14" t="s">
        <v>1123</v>
      </c>
      <c r="M330" s="14" t="s">
        <v>1519</v>
      </c>
      <c r="N330" s="14">
        <v>421.7</v>
      </c>
      <c r="O330" s="14">
        <v>4</v>
      </c>
      <c r="P330" s="14" t="s">
        <v>2047</v>
      </c>
      <c r="Q330" s="14" t="str">
        <f>_xlfn.IFS(Augmented_Data!$P330="FLAT8","8%",Augmented_Data!$P330="FLAT10","10%",Augmented_Data!$P330="FLAT15","15%",Augmented_Data!$P330="FLAT20","20%",Augmented_Data!$P330="DEL0","0 delivery charge")</f>
        <v>8%</v>
      </c>
      <c r="R330" s="14">
        <v>5</v>
      </c>
      <c r="S330" s="14" t="str">
        <f>_xlfn.IFS(Augmented_Data!U330-Augmented_Data!K330=Augmented_Data!$R330,"Intime",Augmented_Data!U330-Augmented_Data!K330&lt;Augmented_Data!R330,"Before Time",Augmented_Data!U330-Augmented_Data!K330&gt;Augmented_Data!R330,"Late")</f>
        <v>Intime</v>
      </c>
      <c r="T330" s="14">
        <v>55</v>
      </c>
      <c r="U330" s="15">
        <v>45389</v>
      </c>
      <c r="V330" s="14">
        <f>DATEDIF(Augmented_Data!$K330,Augmented_Data!$U330,"D")</f>
        <v>5</v>
      </c>
      <c r="W330" s="14" t="s">
        <v>1675</v>
      </c>
      <c r="X330" s="14">
        <f>Augmented_Data!$Z330-Augmented_Data!$AA330</f>
        <v>139.34399999999982</v>
      </c>
      <c r="Y330" s="14">
        <f>Augmented_Data!$N330*Augmented_Data!$O330</f>
        <v>1686.8</v>
      </c>
      <c r="Z330" s="14">
        <f>Augmented_Data!$Y330+Augmented_Data!$T330</f>
        <v>1741.8</v>
      </c>
      <c r="AA330" s="16">
        <f>IF(Augmented_Data!Q330="0 delivery charge",Augmented_Data!Z330-Augmented_Data!T330,Augmented_Data!Z330*(1-Augmented_Data!Q330))</f>
        <v>1602.4560000000001</v>
      </c>
    </row>
    <row r="331" spans="1:27" x14ac:dyDescent="0.3">
      <c r="A331" s="11" t="s">
        <v>20</v>
      </c>
      <c r="B331" s="11" t="str">
        <f>_xlfn.CONCAT(Augmented_Data!$C331," ",Augmented_Data!$D331)</f>
        <v>Hannah Gutierrez</v>
      </c>
      <c r="C331" s="11" t="s">
        <v>120</v>
      </c>
      <c r="D331" s="11" t="s">
        <v>202</v>
      </c>
      <c r="E331" s="11">
        <v>55</v>
      </c>
      <c r="F331" s="11" t="s">
        <v>289</v>
      </c>
      <c r="G331" s="11" t="s">
        <v>293</v>
      </c>
      <c r="H331" s="11" t="s">
        <v>301</v>
      </c>
      <c r="I331" s="11" t="s">
        <v>401</v>
      </c>
      <c r="J331" s="11" t="s">
        <v>665</v>
      </c>
      <c r="K331" s="12">
        <v>45388</v>
      </c>
      <c r="L331" s="11" t="s">
        <v>1165</v>
      </c>
      <c r="M331" s="11" t="s">
        <v>1535</v>
      </c>
      <c r="N331" s="11">
        <v>477.52</v>
      </c>
      <c r="O331" s="11">
        <v>1</v>
      </c>
      <c r="P331" s="11" t="s">
        <v>1547</v>
      </c>
      <c r="Q331" s="11" t="str">
        <f>_xlfn.IFS(Augmented_Data!$P331="FLAT8","8%",Augmented_Data!$P331="FLAT10","10%",Augmented_Data!$P331="FLAT15","15%",Augmented_Data!$P331="FLAT20","20%",Augmented_Data!$P331="DEL0","0 delivery charge")</f>
        <v>0 delivery charge</v>
      </c>
      <c r="R331" s="11">
        <v>7</v>
      </c>
      <c r="S331" s="11" t="str">
        <f>_xlfn.IFS(Augmented_Data!U331-Augmented_Data!K331=Augmented_Data!$R331,"Intime",Augmented_Data!U331-Augmented_Data!K331&lt;Augmented_Data!R331,"Before Time",Augmented_Data!U331-Augmented_Data!K331&gt;Augmented_Data!R331,"Late")</f>
        <v>Before Time</v>
      </c>
      <c r="T331" s="11">
        <v>48</v>
      </c>
      <c r="U331" s="12">
        <v>45393</v>
      </c>
      <c r="V331" s="11">
        <f>DATEDIF(Augmented_Data!$K331,Augmented_Data!$U331,"D")</f>
        <v>5</v>
      </c>
      <c r="W331" s="11" t="s">
        <v>1717</v>
      </c>
      <c r="X331" s="11">
        <f>Augmented_Data!$Z331-Augmented_Data!$AA331</f>
        <v>48</v>
      </c>
      <c r="Y331" s="11">
        <f>Augmented_Data!$N331*Augmented_Data!$O331</f>
        <v>477.52</v>
      </c>
      <c r="Z331" s="11">
        <f>Augmented_Data!$Y331+Augmented_Data!$T331</f>
        <v>525.52</v>
      </c>
      <c r="AA331" s="13">
        <f>IF(Augmented_Data!Q331="0 delivery charge",Augmented_Data!Z331-Augmented_Data!T331,Augmented_Data!Z331*(1-Augmented_Data!Q331))</f>
        <v>477.52</v>
      </c>
    </row>
    <row r="332" spans="1:27" x14ac:dyDescent="0.3">
      <c r="A332" s="14" t="s">
        <v>64</v>
      </c>
      <c r="B332" s="14" t="str">
        <f>_xlfn.CONCAT(Augmented_Data!$C332," ",Augmented_Data!$D332)</f>
        <v>Rebecca Figueroa</v>
      </c>
      <c r="C332" s="14" t="s">
        <v>159</v>
      </c>
      <c r="D332" s="14" t="s">
        <v>245</v>
      </c>
      <c r="E332" s="14">
        <v>63</v>
      </c>
      <c r="F332" s="14" t="s">
        <v>288</v>
      </c>
      <c r="G332" s="14" t="s">
        <v>294</v>
      </c>
      <c r="H332" s="14" t="s">
        <v>345</v>
      </c>
      <c r="I332" s="14" t="s">
        <v>445</v>
      </c>
      <c r="J332" s="14" t="s">
        <v>829</v>
      </c>
      <c r="K332" s="15">
        <v>45623</v>
      </c>
      <c r="L332" s="14" t="s">
        <v>1329</v>
      </c>
      <c r="M332" s="14" t="s">
        <v>1542</v>
      </c>
      <c r="N332" s="14">
        <v>20</v>
      </c>
      <c r="O332" s="14">
        <v>2</v>
      </c>
      <c r="P332" s="14" t="s">
        <v>1547</v>
      </c>
      <c r="Q332" s="14" t="str">
        <f>_xlfn.IFS(Augmented_Data!$P332="FLAT8","8%",Augmented_Data!$P332="FLAT10","10%",Augmented_Data!$P332="FLAT15","15%",Augmented_Data!$P332="FLAT20","20%",Augmented_Data!$P332="DEL0","0 delivery charge")</f>
        <v>0 delivery charge</v>
      </c>
      <c r="R332" s="14">
        <v>5</v>
      </c>
      <c r="S332" s="14" t="str">
        <f>_xlfn.IFS(Augmented_Data!U332-Augmented_Data!K332=Augmented_Data!$R332,"Intime",Augmented_Data!U332-Augmented_Data!K332&lt;Augmented_Data!R332,"Before Time",Augmented_Data!U332-Augmented_Data!K332&gt;Augmented_Data!R332,"Late")</f>
        <v>Late</v>
      </c>
      <c r="T332" s="14">
        <v>55</v>
      </c>
      <c r="U332" s="15">
        <v>45629</v>
      </c>
      <c r="V332" s="14">
        <f>DATEDIF(Augmented_Data!$K332,Augmented_Data!$U332,"D")</f>
        <v>6</v>
      </c>
      <c r="W332" s="14" t="s">
        <v>1880</v>
      </c>
      <c r="X332" s="14">
        <f>Augmented_Data!$Z332-Augmented_Data!$AA332</f>
        <v>55</v>
      </c>
      <c r="Y332" s="14">
        <f>Augmented_Data!$N332*Augmented_Data!$O332</f>
        <v>40</v>
      </c>
      <c r="Z332" s="14">
        <f>Augmented_Data!$Y332+Augmented_Data!$T332</f>
        <v>95</v>
      </c>
      <c r="AA332" s="16">
        <f>IF(Augmented_Data!Q332="0 delivery charge",Augmented_Data!Z332-Augmented_Data!T332,Augmented_Data!Z332*(1-Augmented_Data!Q332))</f>
        <v>40</v>
      </c>
    </row>
    <row r="333" spans="1:27" x14ac:dyDescent="0.3">
      <c r="A333" s="11" t="s">
        <v>44</v>
      </c>
      <c r="B333" s="11" t="str">
        <f>_xlfn.CONCAT(Augmented_Data!$C333," ",Augmented_Data!$D333)</f>
        <v>Ashley Rose</v>
      </c>
      <c r="C333" s="11" t="s">
        <v>142</v>
      </c>
      <c r="D333" s="11" t="s">
        <v>225</v>
      </c>
      <c r="E333" s="11">
        <v>60</v>
      </c>
      <c r="F333" s="11" t="s">
        <v>290</v>
      </c>
      <c r="G333" s="11" t="s">
        <v>291</v>
      </c>
      <c r="H333" s="11" t="s">
        <v>325</v>
      </c>
      <c r="I333" s="11" t="s">
        <v>425</v>
      </c>
      <c r="J333" s="11" t="s">
        <v>830</v>
      </c>
      <c r="K333" s="12">
        <v>45498</v>
      </c>
      <c r="L333" s="11" t="s">
        <v>1330</v>
      </c>
      <c r="M333" s="11" t="s">
        <v>1539</v>
      </c>
      <c r="N333" s="11">
        <v>235.63</v>
      </c>
      <c r="O333" s="11">
        <v>1</v>
      </c>
      <c r="P333" s="11" t="s">
        <v>1549</v>
      </c>
      <c r="Q333" s="11" t="str">
        <f>_xlfn.IFS(Augmented_Data!$P333="FLAT8","8%",Augmented_Data!$P333="FLAT10","10%",Augmented_Data!$P333="FLAT15","15%",Augmented_Data!$P333="FLAT20","20%",Augmented_Data!$P333="DEL0","0 delivery charge")</f>
        <v>10%</v>
      </c>
      <c r="R333" s="11">
        <v>1</v>
      </c>
      <c r="S333" s="11" t="str">
        <f>_xlfn.IFS(Augmented_Data!U333-Augmented_Data!K333=Augmented_Data!$R333,"Intime",Augmented_Data!U333-Augmented_Data!K333&lt;Augmented_Data!R333,"Before Time",Augmented_Data!U333-Augmented_Data!K333&gt;Augmented_Data!R333,"Late")</f>
        <v>Late</v>
      </c>
      <c r="T333" s="11">
        <v>38</v>
      </c>
      <c r="U333" s="12">
        <v>45504</v>
      </c>
      <c r="V333" s="11">
        <f>DATEDIF(Augmented_Data!$K333,Augmented_Data!$U333,"D")</f>
        <v>6</v>
      </c>
      <c r="W333" s="11" t="s">
        <v>1881</v>
      </c>
      <c r="X333" s="11">
        <f>Augmented_Data!$Z333-Augmented_Data!$AA333</f>
        <v>27.363</v>
      </c>
      <c r="Y333" s="11">
        <f>Augmented_Data!$N333*Augmented_Data!$O333</f>
        <v>235.63</v>
      </c>
      <c r="Z333" s="11">
        <f>Augmented_Data!$Y333+Augmented_Data!$T333</f>
        <v>273.63</v>
      </c>
      <c r="AA333" s="13">
        <f>IF(Augmented_Data!Q333="0 delivery charge",Augmented_Data!Z333-Augmented_Data!T333,Augmented_Data!Z333*(1-Augmented_Data!Q333))</f>
        <v>246.267</v>
      </c>
    </row>
    <row r="334" spans="1:27" x14ac:dyDescent="0.3">
      <c r="A334" s="14" t="s">
        <v>110</v>
      </c>
      <c r="B334" s="14" t="str">
        <f>_xlfn.CONCAT(Augmented_Data!$C334," ",Augmented_Data!$D334)</f>
        <v>Brendan Kelly</v>
      </c>
      <c r="C334" s="14" t="s">
        <v>195</v>
      </c>
      <c r="D334" s="14" t="s">
        <v>200</v>
      </c>
      <c r="E334" s="14">
        <v>50</v>
      </c>
      <c r="F334" s="14" t="s">
        <v>290</v>
      </c>
      <c r="G334" s="14" t="s">
        <v>297</v>
      </c>
      <c r="H334" s="14" t="s">
        <v>391</v>
      </c>
      <c r="I334" s="14" t="s">
        <v>491</v>
      </c>
      <c r="J334" s="14" t="s">
        <v>953</v>
      </c>
      <c r="K334" s="15">
        <v>45289</v>
      </c>
      <c r="L334" s="14" t="s">
        <v>1452</v>
      </c>
      <c r="M334" s="14" t="s">
        <v>1546</v>
      </c>
      <c r="N334" s="14">
        <v>33.49</v>
      </c>
      <c r="O334" s="14">
        <v>4</v>
      </c>
      <c r="P334" s="14" t="s">
        <v>1548</v>
      </c>
      <c r="Q334" s="14" t="str">
        <f>_xlfn.IFS(Augmented_Data!$P334="FLAT8","8%",Augmented_Data!$P334="FLAT10","10%",Augmented_Data!$P334="FLAT15","15%",Augmented_Data!$P334="FLAT20","20%",Augmented_Data!$P334="DEL0","0 delivery charge")</f>
        <v>15%</v>
      </c>
      <c r="R334" s="14">
        <v>4</v>
      </c>
      <c r="S334" s="14" t="str">
        <f>_xlfn.IFS(Augmented_Data!U334-Augmented_Data!K334=Augmented_Data!$R334,"Intime",Augmented_Data!U334-Augmented_Data!K334&lt;Augmented_Data!R334,"Before Time",Augmented_Data!U334-Augmented_Data!K334&gt;Augmented_Data!R334,"Late")</f>
        <v>Late</v>
      </c>
      <c r="T334" s="14">
        <v>67</v>
      </c>
      <c r="U334" s="15">
        <v>45294</v>
      </c>
      <c r="V334" s="14">
        <f>DATEDIF(Augmented_Data!$K334,Augmented_Data!$U334,"D")</f>
        <v>5</v>
      </c>
      <c r="W334" s="14" t="s">
        <v>2001</v>
      </c>
      <c r="X334" s="14">
        <f>Augmented_Data!$Z334-Augmented_Data!$AA334</f>
        <v>30.144000000000005</v>
      </c>
      <c r="Y334" s="14">
        <f>Augmented_Data!$N334*Augmented_Data!$O334</f>
        <v>133.96</v>
      </c>
      <c r="Z334" s="14">
        <f>Augmented_Data!$Y334+Augmented_Data!$T334</f>
        <v>200.96</v>
      </c>
      <c r="AA334" s="16">
        <f>IF(Augmented_Data!Q334="0 delivery charge",Augmented_Data!Z334-Augmented_Data!T334,Augmented_Data!Z334*(1-Augmented_Data!Q334))</f>
        <v>170.816</v>
      </c>
    </row>
    <row r="335" spans="1:27" x14ac:dyDescent="0.3">
      <c r="A335" s="11" t="s">
        <v>52</v>
      </c>
      <c r="B335" s="11" t="str">
        <f>_xlfn.CONCAT(Augmented_Data!$C335," ",Augmented_Data!$D335)</f>
        <v>Julie Meyer</v>
      </c>
      <c r="C335" s="11" t="s">
        <v>150</v>
      </c>
      <c r="D335" s="11" t="s">
        <v>233</v>
      </c>
      <c r="E335" s="11">
        <v>23</v>
      </c>
      <c r="F335" s="11" t="s">
        <v>288</v>
      </c>
      <c r="G335" s="11" t="s">
        <v>291</v>
      </c>
      <c r="H335" s="11" t="s">
        <v>333</v>
      </c>
      <c r="I335" s="11" t="s">
        <v>433</v>
      </c>
      <c r="J335" s="11" t="s">
        <v>832</v>
      </c>
      <c r="K335" s="12">
        <v>45271</v>
      </c>
      <c r="L335" s="11" t="s">
        <v>1332</v>
      </c>
      <c r="M335" s="11" t="s">
        <v>1533</v>
      </c>
      <c r="N335" s="11">
        <v>136.30000000000001</v>
      </c>
      <c r="O335" s="11">
        <v>4</v>
      </c>
      <c r="P335" s="11" t="s">
        <v>1549</v>
      </c>
      <c r="Q335" s="11" t="str">
        <f>_xlfn.IFS(Augmented_Data!$P335="FLAT8","8%",Augmented_Data!$P335="FLAT10","10%",Augmented_Data!$P335="FLAT15","15%",Augmented_Data!$P335="FLAT20","20%",Augmented_Data!$P335="DEL0","0 delivery charge")</f>
        <v>10%</v>
      </c>
      <c r="R335" s="11">
        <v>1</v>
      </c>
      <c r="S335" s="11" t="str">
        <f>_xlfn.IFS(Augmented_Data!U335-Augmented_Data!K335=Augmented_Data!$R335,"Intime",Augmented_Data!U335-Augmented_Data!K335&lt;Augmented_Data!R335,"Before Time",Augmented_Data!U335-Augmented_Data!K335&gt;Augmented_Data!R335,"Late")</f>
        <v>Late</v>
      </c>
      <c r="T335" s="11">
        <v>35</v>
      </c>
      <c r="U335" s="12">
        <v>45275</v>
      </c>
      <c r="V335" s="11">
        <f>DATEDIF(Augmented_Data!$K335,Augmented_Data!$U335,"D")</f>
        <v>4</v>
      </c>
      <c r="W335" s="11" t="s">
        <v>1883</v>
      </c>
      <c r="X335" s="11">
        <f>Augmented_Data!$Z335-Augmented_Data!$AA335</f>
        <v>58.019999999999982</v>
      </c>
      <c r="Y335" s="11">
        <f>Augmented_Data!$N335*Augmented_Data!$O335</f>
        <v>545.20000000000005</v>
      </c>
      <c r="Z335" s="11">
        <f>Augmented_Data!$Y335+Augmented_Data!$T335</f>
        <v>580.20000000000005</v>
      </c>
      <c r="AA335" s="13">
        <f>IF(Augmented_Data!Q335="0 delivery charge",Augmented_Data!Z335-Augmented_Data!T335,Augmented_Data!Z335*(1-Augmented_Data!Q335))</f>
        <v>522.18000000000006</v>
      </c>
    </row>
    <row r="336" spans="1:27" x14ac:dyDescent="0.3">
      <c r="A336" s="14" t="s">
        <v>102</v>
      </c>
      <c r="B336" s="14" t="str">
        <f>_xlfn.CONCAT(Augmented_Data!$C336," ",Augmented_Data!$D336)</f>
        <v>Natasha Michael</v>
      </c>
      <c r="C336" s="14" t="s">
        <v>190</v>
      </c>
      <c r="D336" s="14" t="s">
        <v>276</v>
      </c>
      <c r="E336" s="14">
        <v>49</v>
      </c>
      <c r="F336" s="14" t="s">
        <v>288</v>
      </c>
      <c r="G336" s="14" t="s">
        <v>292</v>
      </c>
      <c r="H336" s="14" t="s">
        <v>383</v>
      </c>
      <c r="I336" s="14" t="s">
        <v>483</v>
      </c>
      <c r="J336" s="14" t="s">
        <v>833</v>
      </c>
      <c r="K336" s="15">
        <v>45122</v>
      </c>
      <c r="L336" s="14" t="s">
        <v>1333</v>
      </c>
      <c r="M336" s="14" t="s">
        <v>1517</v>
      </c>
      <c r="N336" s="14">
        <v>282.63</v>
      </c>
      <c r="O336" s="14">
        <v>4</v>
      </c>
      <c r="P336" s="14" t="s">
        <v>1549</v>
      </c>
      <c r="Q336" s="14" t="str">
        <f>_xlfn.IFS(Augmented_Data!$P336="FLAT8","8%",Augmented_Data!$P336="FLAT10","10%",Augmented_Data!$P336="FLAT15","15%",Augmented_Data!$P336="FLAT20","20%",Augmented_Data!$P336="DEL0","0 delivery charge")</f>
        <v>10%</v>
      </c>
      <c r="R336" s="14">
        <v>1</v>
      </c>
      <c r="S336" s="14" t="str">
        <f>_xlfn.IFS(Augmented_Data!U336-Augmented_Data!K336=Augmented_Data!$R336,"Intime",Augmented_Data!U336-Augmented_Data!K336&lt;Augmented_Data!R336,"Before Time",Augmented_Data!U336-Augmented_Data!K336&gt;Augmented_Data!R336,"Late")</f>
        <v>Late</v>
      </c>
      <c r="T336" s="14">
        <v>48</v>
      </c>
      <c r="U336" s="15">
        <v>45125</v>
      </c>
      <c r="V336" s="14">
        <f>DATEDIF(Augmented_Data!$K336,Augmented_Data!$U336,"D")</f>
        <v>3</v>
      </c>
      <c r="W336" s="14" t="s">
        <v>1884</v>
      </c>
      <c r="X336" s="14">
        <f>Augmented_Data!$Z336-Augmented_Data!$AA336</f>
        <v>117.85199999999986</v>
      </c>
      <c r="Y336" s="14">
        <f>Augmented_Data!$N336*Augmented_Data!$O336</f>
        <v>1130.52</v>
      </c>
      <c r="Z336" s="14">
        <f>Augmented_Data!$Y336+Augmented_Data!$T336</f>
        <v>1178.52</v>
      </c>
      <c r="AA336" s="16">
        <f>IF(Augmented_Data!Q336="0 delivery charge",Augmented_Data!Z336-Augmented_Data!T336,Augmented_Data!Z336*(1-Augmented_Data!Q336))</f>
        <v>1060.6680000000001</v>
      </c>
    </row>
    <row r="337" spans="1:27" x14ac:dyDescent="0.3">
      <c r="A337" s="11" t="s">
        <v>96</v>
      </c>
      <c r="B337" s="11" t="str">
        <f>_xlfn.CONCAT(Augmented_Data!$C337," ",Augmented_Data!$D337)</f>
        <v>Leslie Montgomery</v>
      </c>
      <c r="C337" s="11" t="s">
        <v>185</v>
      </c>
      <c r="D337" s="11" t="s">
        <v>272</v>
      </c>
      <c r="E337" s="11">
        <v>26</v>
      </c>
      <c r="F337" s="11" t="s">
        <v>289</v>
      </c>
      <c r="G337" s="11" t="s">
        <v>293</v>
      </c>
      <c r="H337" s="11" t="s">
        <v>377</v>
      </c>
      <c r="I337" s="11" t="s">
        <v>477</v>
      </c>
      <c r="J337" s="11" t="s">
        <v>834</v>
      </c>
      <c r="K337" s="12">
        <v>45627</v>
      </c>
      <c r="L337" s="11" t="s">
        <v>1334</v>
      </c>
      <c r="M337" s="11" t="s">
        <v>1511</v>
      </c>
      <c r="N337" s="11">
        <v>272.51</v>
      </c>
      <c r="O337" s="11">
        <v>5</v>
      </c>
      <c r="P337" s="11" t="s">
        <v>1549</v>
      </c>
      <c r="Q337" s="11" t="str">
        <f>_xlfn.IFS(Augmented_Data!$P337="FLAT8","8%",Augmented_Data!$P337="FLAT10","10%",Augmented_Data!$P337="FLAT15","15%",Augmented_Data!$P337="FLAT20","20%",Augmented_Data!$P337="DEL0","0 delivery charge")</f>
        <v>10%</v>
      </c>
      <c r="R337" s="11">
        <v>4</v>
      </c>
      <c r="S337" s="11" t="str">
        <f>_xlfn.IFS(Augmented_Data!U337-Augmented_Data!K337=Augmented_Data!$R337,"Intime",Augmented_Data!U337-Augmented_Data!K337&lt;Augmented_Data!R337,"Before Time",Augmented_Data!U337-Augmented_Data!K337&gt;Augmented_Data!R337,"Late")</f>
        <v>Before Time</v>
      </c>
      <c r="T337" s="11">
        <v>45</v>
      </c>
      <c r="U337" s="12">
        <v>45630</v>
      </c>
      <c r="V337" s="11">
        <f>DATEDIF(Augmented_Data!$K337,Augmented_Data!$U337,"D")</f>
        <v>3</v>
      </c>
      <c r="W337" s="11" t="s">
        <v>1885</v>
      </c>
      <c r="X337" s="11">
        <f>Augmented_Data!$Z337-Augmented_Data!$AA337</f>
        <v>140.75499999999988</v>
      </c>
      <c r="Y337" s="11">
        <f>Augmented_Data!$N337*Augmented_Data!$O337</f>
        <v>1362.55</v>
      </c>
      <c r="Z337" s="11">
        <f>Augmented_Data!$Y337+Augmented_Data!$T337</f>
        <v>1407.55</v>
      </c>
      <c r="AA337" s="13">
        <f>IF(Augmented_Data!Q337="0 delivery charge",Augmented_Data!Z337-Augmented_Data!T337,Augmented_Data!Z337*(1-Augmented_Data!Q337))</f>
        <v>1266.7950000000001</v>
      </c>
    </row>
    <row r="338" spans="1:27" x14ac:dyDescent="0.3">
      <c r="A338" s="14" t="s">
        <v>95</v>
      </c>
      <c r="B338" s="14" t="str">
        <f>_xlfn.CONCAT(Augmented_Data!$C338," ",Augmented_Data!$D338)</f>
        <v>James Brown</v>
      </c>
      <c r="C338" s="14" t="s">
        <v>184</v>
      </c>
      <c r="D338" s="14" t="s">
        <v>271</v>
      </c>
      <c r="E338" s="14">
        <v>60</v>
      </c>
      <c r="F338" s="14" t="s">
        <v>288</v>
      </c>
      <c r="G338" s="14" t="s">
        <v>294</v>
      </c>
      <c r="H338" s="14" t="s">
        <v>376</v>
      </c>
      <c r="I338" s="14" t="s">
        <v>476</v>
      </c>
      <c r="J338" s="14" t="s">
        <v>835</v>
      </c>
      <c r="K338" s="15">
        <v>45053</v>
      </c>
      <c r="L338" s="14" t="s">
        <v>1335</v>
      </c>
      <c r="M338" s="14" t="s">
        <v>1504</v>
      </c>
      <c r="N338" s="14">
        <v>275.44</v>
      </c>
      <c r="O338" s="14">
        <v>2</v>
      </c>
      <c r="P338" s="14" t="s">
        <v>1548</v>
      </c>
      <c r="Q338" s="14" t="str">
        <f>_xlfn.IFS(Augmented_Data!$P338="FLAT8","8%",Augmented_Data!$P338="FLAT10","10%",Augmented_Data!$P338="FLAT15","15%",Augmented_Data!$P338="FLAT20","20%",Augmented_Data!$P338="DEL0","0 delivery charge")</f>
        <v>15%</v>
      </c>
      <c r="R338" s="14">
        <v>4</v>
      </c>
      <c r="S338" s="14" t="str">
        <f>_xlfn.IFS(Augmented_Data!U338-Augmented_Data!K338=Augmented_Data!$R338,"Intime",Augmented_Data!U338-Augmented_Data!K338&lt;Augmented_Data!R338,"Before Time",Augmented_Data!U338-Augmented_Data!K338&gt;Augmented_Data!R338,"Late")</f>
        <v>Late</v>
      </c>
      <c r="T338" s="14">
        <v>54</v>
      </c>
      <c r="U338" s="15">
        <v>45059</v>
      </c>
      <c r="V338" s="14">
        <f>DATEDIF(Augmented_Data!$K338,Augmented_Data!$U338,"D")</f>
        <v>6</v>
      </c>
      <c r="W338" s="14" t="s">
        <v>1886</v>
      </c>
      <c r="X338" s="14">
        <f>Augmented_Data!$Z338-Augmented_Data!$AA338</f>
        <v>90.731999999999971</v>
      </c>
      <c r="Y338" s="14">
        <f>Augmented_Data!$N338*Augmented_Data!$O338</f>
        <v>550.88</v>
      </c>
      <c r="Z338" s="14">
        <f>Augmented_Data!$Y338+Augmented_Data!$T338</f>
        <v>604.88</v>
      </c>
      <c r="AA338" s="16">
        <f>IF(Augmented_Data!Q338="0 delivery charge",Augmented_Data!Z338-Augmented_Data!T338,Augmented_Data!Z338*(1-Augmented_Data!Q338))</f>
        <v>514.14800000000002</v>
      </c>
    </row>
    <row r="339" spans="1:27" x14ac:dyDescent="0.3">
      <c r="A339" s="11" t="s">
        <v>55</v>
      </c>
      <c r="B339" s="11" t="str">
        <f>_xlfn.CONCAT(Augmented_Data!$C339," ",Augmented_Data!$D339)</f>
        <v>Timothy Hicks</v>
      </c>
      <c r="C339" s="11" t="s">
        <v>153</v>
      </c>
      <c r="D339" s="11" t="s">
        <v>236</v>
      </c>
      <c r="E339" s="11">
        <v>31</v>
      </c>
      <c r="F339" s="11" t="s">
        <v>290</v>
      </c>
      <c r="G339" s="11" t="s">
        <v>294</v>
      </c>
      <c r="H339" s="11" t="s">
        <v>336</v>
      </c>
      <c r="I339" s="11" t="s">
        <v>436</v>
      </c>
      <c r="J339" s="11" t="s">
        <v>836</v>
      </c>
      <c r="K339" s="12">
        <v>45148</v>
      </c>
      <c r="L339" s="11" t="s">
        <v>1336</v>
      </c>
      <c r="M339" s="11" t="s">
        <v>1499</v>
      </c>
      <c r="N339" s="11">
        <v>441.03</v>
      </c>
      <c r="O339" s="11">
        <v>2</v>
      </c>
      <c r="P339" s="11" t="s">
        <v>2047</v>
      </c>
      <c r="Q339" s="11" t="str">
        <f>_xlfn.IFS(Augmented_Data!$P339="FLAT8","8%",Augmented_Data!$P339="FLAT10","10%",Augmented_Data!$P339="FLAT15","15%",Augmented_Data!$P339="FLAT20","20%",Augmented_Data!$P339="DEL0","0 delivery charge")</f>
        <v>8%</v>
      </c>
      <c r="R339" s="11">
        <v>3</v>
      </c>
      <c r="S339" s="11" t="str">
        <f>_xlfn.IFS(Augmented_Data!U339-Augmented_Data!K339=Augmented_Data!$R339,"Intime",Augmented_Data!U339-Augmented_Data!K339&lt;Augmented_Data!R339,"Before Time",Augmented_Data!U339-Augmented_Data!K339&gt;Augmented_Data!R339,"Late")</f>
        <v>Intime</v>
      </c>
      <c r="T339" s="11">
        <v>62</v>
      </c>
      <c r="U339" s="12">
        <v>45151</v>
      </c>
      <c r="V339" s="11">
        <f>DATEDIF(Augmented_Data!$K339,Augmented_Data!$U339,"D")</f>
        <v>3</v>
      </c>
      <c r="W339" s="11" t="s">
        <v>1887</v>
      </c>
      <c r="X339" s="11">
        <f>Augmented_Data!$Z339-Augmented_Data!$AA339</f>
        <v>75.524799999999914</v>
      </c>
      <c r="Y339" s="11">
        <f>Augmented_Data!$N339*Augmented_Data!$O339</f>
        <v>882.06</v>
      </c>
      <c r="Z339" s="11">
        <f>Augmented_Data!$Y339+Augmented_Data!$T339</f>
        <v>944.06</v>
      </c>
      <c r="AA339" s="13">
        <f>IF(Augmented_Data!Q339="0 delivery charge",Augmented_Data!Z339-Augmented_Data!T339,Augmented_Data!Z339*(1-Augmented_Data!Q339))</f>
        <v>868.53520000000003</v>
      </c>
    </row>
    <row r="340" spans="1:27" x14ac:dyDescent="0.3">
      <c r="A340" s="14" t="s">
        <v>58</v>
      </c>
      <c r="B340" s="14" t="str">
        <f>_xlfn.CONCAT(Augmented_Data!$C340," ",Augmented_Data!$D340)</f>
        <v>Jason Lopez</v>
      </c>
      <c r="C340" s="14" t="s">
        <v>140</v>
      </c>
      <c r="D340" s="14" t="s">
        <v>239</v>
      </c>
      <c r="E340" s="14">
        <v>40</v>
      </c>
      <c r="F340" s="14" t="s">
        <v>290</v>
      </c>
      <c r="G340" s="14" t="s">
        <v>297</v>
      </c>
      <c r="H340" s="14" t="s">
        <v>339</v>
      </c>
      <c r="I340" s="14" t="s">
        <v>439</v>
      </c>
      <c r="J340" s="14" t="s">
        <v>837</v>
      </c>
      <c r="K340" s="15">
        <v>45285</v>
      </c>
      <c r="L340" s="14" t="s">
        <v>1337</v>
      </c>
      <c r="M340" s="14" t="s">
        <v>1523</v>
      </c>
      <c r="N340" s="14">
        <v>129.75</v>
      </c>
      <c r="O340" s="14">
        <v>2</v>
      </c>
      <c r="P340" s="14" t="s">
        <v>1548</v>
      </c>
      <c r="Q340" s="14" t="str">
        <f>_xlfn.IFS(Augmented_Data!$P340="FLAT8","8%",Augmented_Data!$P340="FLAT10","10%",Augmented_Data!$P340="FLAT15","15%",Augmented_Data!$P340="FLAT20","20%",Augmented_Data!$P340="DEL0","0 delivery charge")</f>
        <v>15%</v>
      </c>
      <c r="R340" s="14">
        <v>1</v>
      </c>
      <c r="S340" s="14" t="str">
        <f>_xlfn.IFS(Augmented_Data!U340-Augmented_Data!K340=Augmented_Data!$R340,"Intime",Augmented_Data!U340-Augmented_Data!K340&lt;Augmented_Data!R340,"Before Time",Augmented_Data!U340-Augmented_Data!K340&gt;Augmented_Data!R340,"Late")</f>
        <v>Late</v>
      </c>
      <c r="T340" s="14">
        <v>62</v>
      </c>
      <c r="U340" s="15">
        <v>45290</v>
      </c>
      <c r="V340" s="14">
        <f>DATEDIF(Augmented_Data!$K340,Augmented_Data!$U340,"D")</f>
        <v>5</v>
      </c>
      <c r="W340" s="14" t="s">
        <v>1888</v>
      </c>
      <c r="X340" s="14">
        <f>Augmented_Data!$Z340-Augmented_Data!$AA340</f>
        <v>48.225000000000023</v>
      </c>
      <c r="Y340" s="14">
        <f>Augmented_Data!$N340*Augmented_Data!$O340</f>
        <v>259.5</v>
      </c>
      <c r="Z340" s="14">
        <f>Augmented_Data!$Y340+Augmented_Data!$T340</f>
        <v>321.5</v>
      </c>
      <c r="AA340" s="16">
        <f>IF(Augmented_Data!Q340="0 delivery charge",Augmented_Data!Z340-Augmented_Data!T340,Augmented_Data!Z340*(1-Augmented_Data!Q340))</f>
        <v>273.27499999999998</v>
      </c>
    </row>
    <row r="341" spans="1:27" x14ac:dyDescent="0.3">
      <c r="A341" s="11" t="s">
        <v>111</v>
      </c>
      <c r="B341" s="11" t="str">
        <f>_xlfn.CONCAT(Augmented_Data!$C341," ",Augmented_Data!$D341)</f>
        <v>Veronica Lopez</v>
      </c>
      <c r="C341" s="11" t="s">
        <v>196</v>
      </c>
      <c r="D341" s="11" t="s">
        <v>239</v>
      </c>
      <c r="E341" s="11">
        <v>18</v>
      </c>
      <c r="F341" s="11" t="s">
        <v>289</v>
      </c>
      <c r="G341" s="11" t="s">
        <v>298</v>
      </c>
      <c r="H341" s="11" t="s">
        <v>392</v>
      </c>
      <c r="I341" s="11" t="s">
        <v>492</v>
      </c>
      <c r="J341" s="11" t="s">
        <v>838</v>
      </c>
      <c r="K341" s="12">
        <v>45682</v>
      </c>
      <c r="L341" s="11" t="s">
        <v>1338</v>
      </c>
      <c r="M341" s="11" t="s">
        <v>1535</v>
      </c>
      <c r="N341" s="11">
        <v>477.52</v>
      </c>
      <c r="O341" s="11">
        <v>3</v>
      </c>
      <c r="P341" s="11" t="s">
        <v>1550</v>
      </c>
      <c r="Q341" s="11" t="str">
        <f>_xlfn.IFS(Augmented_Data!$P341="FLAT8","8%",Augmented_Data!$P341="FLAT10","10%",Augmented_Data!$P341="FLAT15","15%",Augmented_Data!$P341="FLAT20","20%",Augmented_Data!$P341="DEL0","0 delivery charge")</f>
        <v>20%</v>
      </c>
      <c r="R341" s="11">
        <v>7</v>
      </c>
      <c r="S341" s="11" t="str">
        <f>_xlfn.IFS(Augmented_Data!U341-Augmented_Data!K341=Augmented_Data!$R341,"Intime",Augmented_Data!U341-Augmented_Data!K341&lt;Augmented_Data!R341,"Before Time",Augmented_Data!U341-Augmented_Data!K341&gt;Augmented_Data!R341,"Late")</f>
        <v>Before Time</v>
      </c>
      <c r="T341" s="11">
        <v>41</v>
      </c>
      <c r="U341" s="12">
        <v>45686</v>
      </c>
      <c r="V341" s="11">
        <f>DATEDIF(Augmented_Data!$K341,Augmented_Data!$U341,"D")</f>
        <v>4</v>
      </c>
      <c r="W341" s="11" t="s">
        <v>1889</v>
      </c>
      <c r="X341" s="11">
        <f>Augmented_Data!$Z341-Augmented_Data!$AA341</f>
        <v>294.71199999999999</v>
      </c>
      <c r="Y341" s="11">
        <f>Augmented_Data!$N341*Augmented_Data!$O341</f>
        <v>1432.56</v>
      </c>
      <c r="Z341" s="11">
        <f>Augmented_Data!$Y341+Augmented_Data!$T341</f>
        <v>1473.56</v>
      </c>
      <c r="AA341" s="13">
        <f>IF(Augmented_Data!Q341="0 delivery charge",Augmented_Data!Z341-Augmented_Data!T341,Augmented_Data!Z341*(1-Augmented_Data!Q341))</f>
        <v>1178.848</v>
      </c>
    </row>
    <row r="342" spans="1:27" x14ac:dyDescent="0.3">
      <c r="A342" s="14" t="s">
        <v>69</v>
      </c>
      <c r="B342" s="14" t="str">
        <f>_xlfn.CONCAT(Augmented_Data!$C342," ",Augmented_Data!$D342)</f>
        <v>Sharon Thompson</v>
      </c>
      <c r="C342" s="14" t="s">
        <v>163</v>
      </c>
      <c r="D342" s="14" t="s">
        <v>238</v>
      </c>
      <c r="E342" s="14">
        <v>57</v>
      </c>
      <c r="F342" s="14" t="s">
        <v>289</v>
      </c>
      <c r="G342" s="14" t="s">
        <v>298</v>
      </c>
      <c r="H342" s="14" t="s">
        <v>350</v>
      </c>
      <c r="I342" s="14" t="s">
        <v>450</v>
      </c>
      <c r="J342" s="14" t="s">
        <v>839</v>
      </c>
      <c r="K342" s="15">
        <v>45453</v>
      </c>
      <c r="L342" s="14" t="s">
        <v>1339</v>
      </c>
      <c r="M342" s="14" t="s">
        <v>1544</v>
      </c>
      <c r="N342" s="14">
        <v>107.47</v>
      </c>
      <c r="O342" s="14">
        <v>3</v>
      </c>
      <c r="P342" s="14" t="s">
        <v>1549</v>
      </c>
      <c r="Q342" s="14" t="str">
        <f>_xlfn.IFS(Augmented_Data!$P342="FLAT8","8%",Augmented_Data!$P342="FLAT10","10%",Augmented_Data!$P342="FLAT15","15%",Augmented_Data!$P342="FLAT20","20%",Augmented_Data!$P342="DEL0","0 delivery charge")</f>
        <v>10%</v>
      </c>
      <c r="R342" s="14">
        <v>4</v>
      </c>
      <c r="S342" s="14" t="str">
        <f>_xlfn.IFS(Augmented_Data!U342-Augmented_Data!K342=Augmented_Data!$R342,"Intime",Augmented_Data!U342-Augmented_Data!K342&lt;Augmented_Data!R342,"Before Time",Augmented_Data!U342-Augmented_Data!K342&gt;Augmented_Data!R342,"Late")</f>
        <v>Before Time</v>
      </c>
      <c r="T342" s="14">
        <v>59</v>
      </c>
      <c r="U342" s="15">
        <v>45454</v>
      </c>
      <c r="V342" s="14">
        <f>DATEDIF(Augmented_Data!$K342,Augmented_Data!$U342,"D")</f>
        <v>1</v>
      </c>
      <c r="W342" s="14" t="s">
        <v>1890</v>
      </c>
      <c r="X342" s="14">
        <f>Augmented_Data!$Z342-Augmented_Data!$AA342</f>
        <v>38.140999999999963</v>
      </c>
      <c r="Y342" s="14">
        <f>Augmented_Data!$N342*Augmented_Data!$O342</f>
        <v>322.40999999999997</v>
      </c>
      <c r="Z342" s="14">
        <f>Augmented_Data!$Y342+Augmented_Data!$T342</f>
        <v>381.40999999999997</v>
      </c>
      <c r="AA342" s="16">
        <f>IF(Augmented_Data!Q342="0 delivery charge",Augmented_Data!Z342-Augmented_Data!T342,Augmented_Data!Z342*(1-Augmented_Data!Q342))</f>
        <v>343.26900000000001</v>
      </c>
    </row>
    <row r="343" spans="1:27" x14ac:dyDescent="0.3">
      <c r="A343" s="11" t="s">
        <v>92</v>
      </c>
      <c r="B343" s="11" t="str">
        <f>_xlfn.CONCAT(Augmented_Data!$C343," ",Augmented_Data!$D343)</f>
        <v>Kristina Haynes</v>
      </c>
      <c r="C343" s="11" t="s">
        <v>181</v>
      </c>
      <c r="D343" s="11" t="s">
        <v>268</v>
      </c>
      <c r="E343" s="11">
        <v>27</v>
      </c>
      <c r="F343" s="11" t="s">
        <v>288</v>
      </c>
      <c r="G343" s="11" t="s">
        <v>292</v>
      </c>
      <c r="H343" s="11" t="s">
        <v>373</v>
      </c>
      <c r="I343" s="11" t="s">
        <v>473</v>
      </c>
      <c r="J343" s="11" t="s">
        <v>840</v>
      </c>
      <c r="K343" s="12">
        <v>45185</v>
      </c>
      <c r="L343" s="11" t="s">
        <v>1340</v>
      </c>
      <c r="M343" s="11" t="s">
        <v>1522</v>
      </c>
      <c r="N343" s="11">
        <v>158.53</v>
      </c>
      <c r="O343" s="11">
        <v>2</v>
      </c>
      <c r="P343" s="11" t="s">
        <v>2047</v>
      </c>
      <c r="Q343" s="11" t="str">
        <f>_xlfn.IFS(Augmented_Data!$P343="FLAT8","8%",Augmented_Data!$P343="FLAT10","10%",Augmented_Data!$P343="FLAT15","15%",Augmented_Data!$P343="FLAT20","20%",Augmented_Data!$P343="DEL0","0 delivery charge")</f>
        <v>8%</v>
      </c>
      <c r="R343" s="11">
        <v>2</v>
      </c>
      <c r="S343" s="11" t="str">
        <f>_xlfn.IFS(Augmented_Data!U343-Augmented_Data!K343=Augmented_Data!$R343,"Intime",Augmented_Data!U343-Augmented_Data!K343&lt;Augmented_Data!R343,"Before Time",Augmented_Data!U343-Augmented_Data!K343&gt;Augmented_Data!R343,"Late")</f>
        <v>Intime</v>
      </c>
      <c r="T343" s="11">
        <v>56</v>
      </c>
      <c r="U343" s="12">
        <v>45187</v>
      </c>
      <c r="V343" s="11">
        <f>DATEDIF(Augmented_Data!$K343,Augmented_Data!$U343,"D")</f>
        <v>2</v>
      </c>
      <c r="W343" s="11" t="s">
        <v>1891</v>
      </c>
      <c r="X343" s="11">
        <f>Augmented_Data!$Z343-Augmented_Data!$AA343</f>
        <v>29.844799999999964</v>
      </c>
      <c r="Y343" s="11">
        <f>Augmented_Data!$N343*Augmented_Data!$O343</f>
        <v>317.06</v>
      </c>
      <c r="Z343" s="11">
        <f>Augmented_Data!$Y343+Augmented_Data!$T343</f>
        <v>373.06</v>
      </c>
      <c r="AA343" s="13">
        <f>IF(Augmented_Data!Q343="0 delivery charge",Augmented_Data!Z343-Augmented_Data!T343,Augmented_Data!Z343*(1-Augmented_Data!Q343))</f>
        <v>343.21520000000004</v>
      </c>
    </row>
    <row r="344" spans="1:27" x14ac:dyDescent="0.3">
      <c r="A344" s="14" t="s">
        <v>72</v>
      </c>
      <c r="B344" s="14" t="str">
        <f>_xlfn.CONCAT(Augmented_Data!$C344," ",Augmented_Data!$D344)</f>
        <v>Lauren Lane</v>
      </c>
      <c r="C344" s="14" t="s">
        <v>144</v>
      </c>
      <c r="D344" s="14" t="s">
        <v>250</v>
      </c>
      <c r="E344" s="14">
        <v>30</v>
      </c>
      <c r="F344" s="14" t="s">
        <v>288</v>
      </c>
      <c r="G344" s="14" t="s">
        <v>298</v>
      </c>
      <c r="H344" s="14" t="s">
        <v>353</v>
      </c>
      <c r="I344" s="14" t="s">
        <v>453</v>
      </c>
      <c r="J344" s="14" t="s">
        <v>711</v>
      </c>
      <c r="K344" s="15">
        <v>45423</v>
      </c>
      <c r="L344" s="14" t="s">
        <v>1211</v>
      </c>
      <c r="M344" s="14" t="s">
        <v>1499</v>
      </c>
      <c r="N344" s="14">
        <v>441.03</v>
      </c>
      <c r="O344" s="14">
        <v>2</v>
      </c>
      <c r="P344" s="14" t="s">
        <v>1547</v>
      </c>
      <c r="Q344" s="14" t="str">
        <f>_xlfn.IFS(Augmented_Data!$P344="FLAT8","8%",Augmented_Data!$P344="FLAT10","10%",Augmented_Data!$P344="FLAT15","15%",Augmented_Data!$P344="FLAT20","20%",Augmented_Data!$P344="DEL0","0 delivery charge")</f>
        <v>0 delivery charge</v>
      </c>
      <c r="R344" s="14">
        <v>4</v>
      </c>
      <c r="S344" s="14" t="str">
        <f>_xlfn.IFS(Augmented_Data!U344-Augmented_Data!K344=Augmented_Data!$R344,"Intime",Augmented_Data!U344-Augmented_Data!K344&lt;Augmented_Data!R344,"Before Time",Augmented_Data!U344-Augmented_Data!K344&gt;Augmented_Data!R344,"Late")</f>
        <v>Late</v>
      </c>
      <c r="T344" s="14">
        <v>55</v>
      </c>
      <c r="U344" s="15">
        <v>45429</v>
      </c>
      <c r="V344" s="14">
        <f>DATEDIF(Augmented_Data!$K344,Augmented_Data!$U344,"D")</f>
        <v>6</v>
      </c>
      <c r="W344" s="14" t="s">
        <v>1762</v>
      </c>
      <c r="X344" s="14">
        <f>Augmented_Data!$Z344-Augmented_Data!$AA344</f>
        <v>55</v>
      </c>
      <c r="Y344" s="14">
        <f>Augmented_Data!$N344*Augmented_Data!$O344</f>
        <v>882.06</v>
      </c>
      <c r="Z344" s="14">
        <f>Augmented_Data!$Y344+Augmented_Data!$T344</f>
        <v>937.06</v>
      </c>
      <c r="AA344" s="16">
        <f>IF(Augmented_Data!Q344="0 delivery charge",Augmented_Data!Z344-Augmented_Data!T344,Augmented_Data!Z344*(1-Augmented_Data!Q344))</f>
        <v>882.06</v>
      </c>
    </row>
    <row r="345" spans="1:27" x14ac:dyDescent="0.3">
      <c r="A345" s="11" t="s">
        <v>91</v>
      </c>
      <c r="B345" s="11" t="str">
        <f>_xlfn.CONCAT(Augmented_Data!$C345," ",Augmented_Data!$D345)</f>
        <v>Barbara Fuller</v>
      </c>
      <c r="C345" s="11" t="s">
        <v>180</v>
      </c>
      <c r="D345" s="11" t="s">
        <v>267</v>
      </c>
      <c r="E345" s="11">
        <v>43</v>
      </c>
      <c r="F345" s="11" t="s">
        <v>290</v>
      </c>
      <c r="G345" s="11" t="s">
        <v>293</v>
      </c>
      <c r="H345" s="11" t="s">
        <v>372</v>
      </c>
      <c r="I345" s="11" t="s">
        <v>472</v>
      </c>
      <c r="J345" s="11" t="s">
        <v>842</v>
      </c>
      <c r="K345" s="12">
        <v>44966</v>
      </c>
      <c r="L345" s="11" t="s">
        <v>1342</v>
      </c>
      <c r="M345" s="11" t="s">
        <v>1532</v>
      </c>
      <c r="N345" s="11">
        <v>87.09</v>
      </c>
      <c r="O345" s="11">
        <v>5</v>
      </c>
      <c r="P345" s="11" t="s">
        <v>1547</v>
      </c>
      <c r="Q345" s="11" t="str">
        <f>_xlfn.IFS(Augmented_Data!$P345="FLAT8","8%",Augmented_Data!$P345="FLAT10","10%",Augmented_Data!$P345="FLAT15","15%",Augmented_Data!$P345="FLAT20","20%",Augmented_Data!$P345="DEL0","0 delivery charge")</f>
        <v>0 delivery charge</v>
      </c>
      <c r="R345" s="11">
        <v>7</v>
      </c>
      <c r="S345" s="11" t="str">
        <f>_xlfn.IFS(Augmented_Data!U345-Augmented_Data!K345=Augmented_Data!$R345,"Intime",Augmented_Data!U345-Augmented_Data!K345&lt;Augmented_Data!R345,"Before Time",Augmented_Data!U345-Augmented_Data!K345&gt;Augmented_Data!R345,"Late")</f>
        <v>Before Time</v>
      </c>
      <c r="T345" s="11">
        <v>56</v>
      </c>
      <c r="U345" s="12">
        <v>44971</v>
      </c>
      <c r="V345" s="11">
        <f>DATEDIF(Augmented_Data!$K345,Augmented_Data!$U345,"D")</f>
        <v>5</v>
      </c>
      <c r="W345" s="11" t="s">
        <v>1893</v>
      </c>
      <c r="X345" s="11">
        <f>Augmented_Data!$Z345-Augmented_Data!$AA345</f>
        <v>56</v>
      </c>
      <c r="Y345" s="11">
        <f>Augmented_Data!$N345*Augmented_Data!$O345</f>
        <v>435.45000000000005</v>
      </c>
      <c r="Z345" s="11">
        <f>Augmented_Data!$Y345+Augmented_Data!$T345</f>
        <v>491.45000000000005</v>
      </c>
      <c r="AA345" s="13">
        <f>IF(Augmented_Data!Q345="0 delivery charge",Augmented_Data!Z345-Augmented_Data!T345,Augmented_Data!Z345*(1-Augmented_Data!Q345))</f>
        <v>435.45000000000005</v>
      </c>
    </row>
    <row r="346" spans="1:27" x14ac:dyDescent="0.3">
      <c r="A346" s="14" t="s">
        <v>41</v>
      </c>
      <c r="B346" s="14" t="str">
        <f>_xlfn.CONCAT(Augmented_Data!$C346," ",Augmented_Data!$D346)</f>
        <v>Angela Evans</v>
      </c>
      <c r="C346" s="14" t="s">
        <v>122</v>
      </c>
      <c r="D346" s="14" t="s">
        <v>222</v>
      </c>
      <c r="E346" s="14">
        <v>52</v>
      </c>
      <c r="F346" s="14" t="s">
        <v>290</v>
      </c>
      <c r="G346" s="14" t="s">
        <v>292</v>
      </c>
      <c r="H346" s="14" t="s">
        <v>322</v>
      </c>
      <c r="I346" s="14" t="s">
        <v>422</v>
      </c>
      <c r="J346" s="14" t="s">
        <v>843</v>
      </c>
      <c r="K346" s="15">
        <v>45303</v>
      </c>
      <c r="L346" s="14" t="s">
        <v>1343</v>
      </c>
      <c r="M346" s="14" t="s">
        <v>1512</v>
      </c>
      <c r="N346" s="14">
        <v>104.18</v>
      </c>
      <c r="O346" s="14">
        <v>4</v>
      </c>
      <c r="P346" s="14" t="s">
        <v>1547</v>
      </c>
      <c r="Q346" s="14" t="str">
        <f>_xlfn.IFS(Augmented_Data!$P346="FLAT8","8%",Augmented_Data!$P346="FLAT10","10%",Augmented_Data!$P346="FLAT15","15%",Augmented_Data!$P346="FLAT20","20%",Augmented_Data!$P346="DEL0","0 delivery charge")</f>
        <v>0 delivery charge</v>
      </c>
      <c r="R346" s="14">
        <v>3</v>
      </c>
      <c r="S346" s="14" t="str">
        <f>_xlfn.IFS(Augmented_Data!U346-Augmented_Data!K346=Augmented_Data!$R346,"Intime",Augmented_Data!U346-Augmented_Data!K346&lt;Augmented_Data!R346,"Before Time",Augmented_Data!U346-Augmented_Data!K346&gt;Augmented_Data!R346,"Late")</f>
        <v>Late</v>
      </c>
      <c r="T346" s="14">
        <v>40</v>
      </c>
      <c r="U346" s="15">
        <v>45308</v>
      </c>
      <c r="V346" s="14">
        <f>DATEDIF(Augmented_Data!$K346,Augmented_Data!$U346,"D")</f>
        <v>5</v>
      </c>
      <c r="W346" s="14" t="s">
        <v>1894</v>
      </c>
      <c r="X346" s="14">
        <f>Augmented_Data!$Z346-Augmented_Data!$AA346</f>
        <v>40</v>
      </c>
      <c r="Y346" s="14">
        <f>Augmented_Data!$N346*Augmented_Data!$O346</f>
        <v>416.72</v>
      </c>
      <c r="Z346" s="14">
        <f>Augmented_Data!$Y346+Augmented_Data!$T346</f>
        <v>456.72</v>
      </c>
      <c r="AA346" s="16">
        <f>IF(Augmented_Data!Q346="0 delivery charge",Augmented_Data!Z346-Augmented_Data!T346,Augmented_Data!Z346*(1-Augmented_Data!Q346))</f>
        <v>416.72</v>
      </c>
    </row>
    <row r="347" spans="1:27" x14ac:dyDescent="0.3">
      <c r="A347" s="11" t="s">
        <v>71</v>
      </c>
      <c r="B347" s="11" t="str">
        <f>_xlfn.CONCAT(Augmented_Data!$C347," ",Augmented_Data!$D347)</f>
        <v>Katherine Weber</v>
      </c>
      <c r="C347" s="11" t="s">
        <v>165</v>
      </c>
      <c r="D347" s="11" t="s">
        <v>249</v>
      </c>
      <c r="E347" s="11">
        <v>42</v>
      </c>
      <c r="F347" s="11" t="s">
        <v>290</v>
      </c>
      <c r="G347" s="11" t="s">
        <v>295</v>
      </c>
      <c r="H347" s="11" t="s">
        <v>352</v>
      </c>
      <c r="I347" s="11" t="s">
        <v>452</v>
      </c>
      <c r="J347" s="11" t="s">
        <v>844</v>
      </c>
      <c r="K347" s="12">
        <v>45666</v>
      </c>
      <c r="L347" s="11" t="s">
        <v>1344</v>
      </c>
      <c r="M347" s="11" t="s">
        <v>1546</v>
      </c>
      <c r="N347" s="11">
        <v>33.49</v>
      </c>
      <c r="O347" s="11">
        <v>1</v>
      </c>
      <c r="P347" s="11" t="s">
        <v>1550</v>
      </c>
      <c r="Q347" s="11" t="str">
        <f>_xlfn.IFS(Augmented_Data!$P347="FLAT8","8%",Augmented_Data!$P347="FLAT10","10%",Augmented_Data!$P347="FLAT15","15%",Augmented_Data!$P347="FLAT20","20%",Augmented_Data!$P347="DEL0","0 delivery charge")</f>
        <v>20%</v>
      </c>
      <c r="R347" s="11">
        <v>4</v>
      </c>
      <c r="S347" s="11" t="str">
        <f>_xlfn.IFS(Augmented_Data!U347-Augmented_Data!K347=Augmented_Data!$R347,"Intime",Augmented_Data!U347-Augmented_Data!K347&lt;Augmented_Data!R347,"Before Time",Augmented_Data!U347-Augmented_Data!K347&gt;Augmented_Data!R347,"Late")</f>
        <v>Before Time</v>
      </c>
      <c r="T347" s="11">
        <v>61</v>
      </c>
      <c r="U347" s="12">
        <v>45668</v>
      </c>
      <c r="V347" s="11">
        <f>DATEDIF(Augmented_Data!$K347,Augmented_Data!$U347,"D")</f>
        <v>2</v>
      </c>
      <c r="W347" s="11" t="s">
        <v>1895</v>
      </c>
      <c r="X347" s="11">
        <f>Augmented_Data!$Z347-Augmented_Data!$AA347</f>
        <v>18.897999999999996</v>
      </c>
      <c r="Y347" s="11">
        <f>Augmented_Data!$N347*Augmented_Data!$O347</f>
        <v>33.49</v>
      </c>
      <c r="Z347" s="11">
        <f>Augmented_Data!$Y347+Augmented_Data!$T347</f>
        <v>94.490000000000009</v>
      </c>
      <c r="AA347" s="13">
        <f>IF(Augmented_Data!Q347="0 delivery charge",Augmented_Data!Z347-Augmented_Data!T347,Augmented_Data!Z347*(1-Augmented_Data!Q347))</f>
        <v>75.592000000000013</v>
      </c>
    </row>
    <row r="348" spans="1:27" x14ac:dyDescent="0.3">
      <c r="A348" s="14" t="s">
        <v>72</v>
      </c>
      <c r="B348" s="14" t="str">
        <f>_xlfn.CONCAT(Augmented_Data!$C348," ",Augmented_Data!$D348)</f>
        <v>Lauren Lane</v>
      </c>
      <c r="C348" s="14" t="s">
        <v>144</v>
      </c>
      <c r="D348" s="14" t="s">
        <v>250</v>
      </c>
      <c r="E348" s="14">
        <v>30</v>
      </c>
      <c r="F348" s="14" t="s">
        <v>288</v>
      </c>
      <c r="G348" s="14" t="s">
        <v>298</v>
      </c>
      <c r="H348" s="14" t="s">
        <v>353</v>
      </c>
      <c r="I348" s="14" t="s">
        <v>453</v>
      </c>
      <c r="J348" s="14" t="s">
        <v>799</v>
      </c>
      <c r="K348" s="15">
        <v>45386</v>
      </c>
      <c r="L348" s="14" t="s">
        <v>1299</v>
      </c>
      <c r="M348" s="14" t="s">
        <v>1538</v>
      </c>
      <c r="N348" s="14">
        <v>433.62</v>
      </c>
      <c r="O348" s="14">
        <v>4</v>
      </c>
      <c r="P348" s="14" t="s">
        <v>1547</v>
      </c>
      <c r="Q348" s="14" t="str">
        <f>_xlfn.IFS(Augmented_Data!$P348="FLAT8","8%",Augmented_Data!$P348="FLAT10","10%",Augmented_Data!$P348="FLAT15","15%",Augmented_Data!$P348="FLAT20","20%",Augmented_Data!$P348="DEL0","0 delivery charge")</f>
        <v>0 delivery charge</v>
      </c>
      <c r="R348" s="14">
        <v>1</v>
      </c>
      <c r="S348" s="14" t="str">
        <f>_xlfn.IFS(Augmented_Data!U348-Augmented_Data!K348=Augmented_Data!$R348,"Intime",Augmented_Data!U348-Augmented_Data!K348&lt;Augmented_Data!R348,"Before Time",Augmented_Data!U348-Augmented_Data!K348&gt;Augmented_Data!R348,"Late")</f>
        <v>Late</v>
      </c>
      <c r="T348" s="14">
        <v>56</v>
      </c>
      <c r="U348" s="15">
        <v>45392</v>
      </c>
      <c r="V348" s="14">
        <f>DATEDIF(Augmented_Data!$K348,Augmented_Data!$U348,"D")</f>
        <v>6</v>
      </c>
      <c r="W348" s="14" t="s">
        <v>1850</v>
      </c>
      <c r="X348" s="14">
        <f>Augmented_Data!$Z348-Augmented_Data!$AA348</f>
        <v>56</v>
      </c>
      <c r="Y348" s="14">
        <f>Augmented_Data!$N348*Augmented_Data!$O348</f>
        <v>1734.48</v>
      </c>
      <c r="Z348" s="14">
        <f>Augmented_Data!$Y348+Augmented_Data!$T348</f>
        <v>1790.48</v>
      </c>
      <c r="AA348" s="16">
        <f>IF(Augmented_Data!Q348="0 delivery charge",Augmented_Data!Z348-Augmented_Data!T348,Augmented_Data!Z348*(1-Augmented_Data!Q348))</f>
        <v>1734.48</v>
      </c>
    </row>
    <row r="349" spans="1:27" x14ac:dyDescent="0.3">
      <c r="A349" s="11" t="s">
        <v>106</v>
      </c>
      <c r="B349" s="11" t="str">
        <f>_xlfn.CONCAT(Augmented_Data!$C349," ",Augmented_Data!$D349)</f>
        <v>Thomas Owens</v>
      </c>
      <c r="C349" s="11" t="s">
        <v>154</v>
      </c>
      <c r="D349" s="11" t="s">
        <v>280</v>
      </c>
      <c r="E349" s="11">
        <v>34</v>
      </c>
      <c r="F349" s="11" t="s">
        <v>290</v>
      </c>
      <c r="G349" s="11" t="s">
        <v>298</v>
      </c>
      <c r="H349" s="11" t="s">
        <v>387</v>
      </c>
      <c r="I349" s="11" t="s">
        <v>487</v>
      </c>
      <c r="J349" s="11" t="s">
        <v>846</v>
      </c>
      <c r="K349" s="12">
        <v>45085</v>
      </c>
      <c r="L349" s="11" t="s">
        <v>1346</v>
      </c>
      <c r="M349" s="11" t="s">
        <v>1513</v>
      </c>
      <c r="N349" s="11">
        <v>20.7</v>
      </c>
      <c r="O349" s="11">
        <v>1</v>
      </c>
      <c r="P349" s="11" t="s">
        <v>1547</v>
      </c>
      <c r="Q349" s="11" t="str">
        <f>_xlfn.IFS(Augmented_Data!$P349="FLAT8","8%",Augmented_Data!$P349="FLAT10","10%",Augmented_Data!$P349="FLAT15","15%",Augmented_Data!$P349="FLAT20","20%",Augmented_Data!$P349="DEL0","0 delivery charge")</f>
        <v>0 delivery charge</v>
      </c>
      <c r="R349" s="11">
        <v>5</v>
      </c>
      <c r="S349" s="11" t="str">
        <f>_xlfn.IFS(Augmented_Data!U349-Augmented_Data!K349=Augmented_Data!$R349,"Intime",Augmented_Data!U349-Augmented_Data!K349&lt;Augmented_Data!R349,"Before Time",Augmented_Data!U349-Augmented_Data!K349&gt;Augmented_Data!R349,"Late")</f>
        <v>Before Time</v>
      </c>
      <c r="T349" s="11">
        <v>51</v>
      </c>
      <c r="U349" s="12">
        <v>45086</v>
      </c>
      <c r="V349" s="11">
        <f>DATEDIF(Augmented_Data!$K349,Augmented_Data!$U349,"D")</f>
        <v>1</v>
      </c>
      <c r="W349" s="11" t="s">
        <v>1897</v>
      </c>
      <c r="X349" s="11">
        <f>Augmented_Data!$Z349-Augmented_Data!$AA349</f>
        <v>51</v>
      </c>
      <c r="Y349" s="11">
        <f>Augmented_Data!$N349*Augmented_Data!$O349</f>
        <v>20.7</v>
      </c>
      <c r="Z349" s="11">
        <f>Augmented_Data!$Y349+Augmented_Data!$T349</f>
        <v>71.7</v>
      </c>
      <c r="AA349" s="13">
        <f>IF(Augmented_Data!Q349="0 delivery charge",Augmented_Data!Z349-Augmented_Data!T349,Augmented_Data!Z349*(1-Augmented_Data!Q349))</f>
        <v>20.700000000000003</v>
      </c>
    </row>
    <row r="350" spans="1:27" x14ac:dyDescent="0.3">
      <c r="A350" s="14" t="s">
        <v>62</v>
      </c>
      <c r="B350" s="14" t="str">
        <f>_xlfn.CONCAT(Augmented_Data!$C350," ",Augmented_Data!$D350)</f>
        <v>Marcus Rogers</v>
      </c>
      <c r="C350" s="14" t="s">
        <v>126</v>
      </c>
      <c r="D350" s="14" t="s">
        <v>243</v>
      </c>
      <c r="E350" s="14">
        <v>36</v>
      </c>
      <c r="F350" s="14" t="s">
        <v>289</v>
      </c>
      <c r="G350" s="14" t="s">
        <v>291</v>
      </c>
      <c r="H350" s="14" t="s">
        <v>343</v>
      </c>
      <c r="I350" s="14" t="s">
        <v>443</v>
      </c>
      <c r="J350" s="14" t="s">
        <v>847</v>
      </c>
      <c r="K350" s="15">
        <v>45028</v>
      </c>
      <c r="L350" s="14" t="s">
        <v>1347</v>
      </c>
      <c r="M350" s="14" t="s">
        <v>1499</v>
      </c>
      <c r="N350" s="14">
        <v>441.03</v>
      </c>
      <c r="O350" s="14">
        <v>2</v>
      </c>
      <c r="P350" s="14" t="s">
        <v>1549</v>
      </c>
      <c r="Q350" s="14" t="str">
        <f>_xlfn.IFS(Augmented_Data!$P350="FLAT8","8%",Augmented_Data!$P350="FLAT10","10%",Augmented_Data!$P350="FLAT15","15%",Augmented_Data!$P350="FLAT20","20%",Augmented_Data!$P350="DEL0","0 delivery charge")</f>
        <v>10%</v>
      </c>
      <c r="R350" s="14">
        <v>4</v>
      </c>
      <c r="S350" s="14" t="str">
        <f>_xlfn.IFS(Augmented_Data!U350-Augmented_Data!K350=Augmented_Data!$R350,"Intime",Augmented_Data!U350-Augmented_Data!K350&lt;Augmented_Data!R350,"Before Time",Augmented_Data!U350-Augmented_Data!K350&gt;Augmented_Data!R350,"Late")</f>
        <v>Late</v>
      </c>
      <c r="T350" s="14">
        <v>60</v>
      </c>
      <c r="U350" s="15">
        <v>45033</v>
      </c>
      <c r="V350" s="14">
        <f>DATEDIF(Augmented_Data!$K350,Augmented_Data!$U350,"D")</f>
        <v>5</v>
      </c>
      <c r="W350" s="14" t="s">
        <v>1898</v>
      </c>
      <c r="X350" s="14">
        <f>Augmented_Data!$Z350-Augmented_Data!$AA350</f>
        <v>94.206000000000017</v>
      </c>
      <c r="Y350" s="14">
        <f>Augmented_Data!$N350*Augmented_Data!$O350</f>
        <v>882.06</v>
      </c>
      <c r="Z350" s="14">
        <f>Augmented_Data!$Y350+Augmented_Data!$T350</f>
        <v>942.06</v>
      </c>
      <c r="AA350" s="16">
        <f>IF(Augmented_Data!Q350="0 delivery charge",Augmented_Data!Z350-Augmented_Data!T350,Augmented_Data!Z350*(1-Augmented_Data!Q350))</f>
        <v>847.85399999999993</v>
      </c>
    </row>
    <row r="351" spans="1:27" x14ac:dyDescent="0.3">
      <c r="A351" s="11" t="s">
        <v>110</v>
      </c>
      <c r="B351" s="11" t="str">
        <f>_xlfn.CONCAT(Augmented_Data!$C351," ",Augmented_Data!$D351)</f>
        <v>Brendan Kelly</v>
      </c>
      <c r="C351" s="11" t="s">
        <v>195</v>
      </c>
      <c r="D351" s="11" t="s">
        <v>200</v>
      </c>
      <c r="E351" s="11">
        <v>50</v>
      </c>
      <c r="F351" s="11" t="s">
        <v>290</v>
      </c>
      <c r="G351" s="11" t="s">
        <v>297</v>
      </c>
      <c r="H351" s="11" t="s">
        <v>391</v>
      </c>
      <c r="I351" s="11" t="s">
        <v>491</v>
      </c>
      <c r="J351" s="11" t="s">
        <v>968</v>
      </c>
      <c r="K351" s="12">
        <v>45183</v>
      </c>
      <c r="L351" s="11" t="s">
        <v>1467</v>
      </c>
      <c r="M351" s="11" t="s">
        <v>1538</v>
      </c>
      <c r="N351" s="11">
        <v>433.62</v>
      </c>
      <c r="O351" s="11">
        <v>2</v>
      </c>
      <c r="P351" s="11" t="s">
        <v>1547</v>
      </c>
      <c r="Q351" s="11" t="str">
        <f>_xlfn.IFS(Augmented_Data!$P351="FLAT8","8%",Augmented_Data!$P351="FLAT10","10%",Augmented_Data!$P351="FLAT15","15%",Augmented_Data!$P351="FLAT20","20%",Augmented_Data!$P351="DEL0","0 delivery charge")</f>
        <v>0 delivery charge</v>
      </c>
      <c r="R351" s="11">
        <v>1</v>
      </c>
      <c r="S351" s="11" t="str">
        <f>_xlfn.IFS(Augmented_Data!U351-Augmented_Data!K351=Augmented_Data!$R351,"Intime",Augmented_Data!U351-Augmented_Data!K351&lt;Augmented_Data!R351,"Before Time",Augmented_Data!U351-Augmented_Data!K351&gt;Augmented_Data!R351,"Late")</f>
        <v>Late</v>
      </c>
      <c r="T351" s="11">
        <v>46</v>
      </c>
      <c r="U351" s="12">
        <v>45186</v>
      </c>
      <c r="V351" s="11">
        <f>DATEDIF(Augmented_Data!$K351,Augmented_Data!$U351,"D")</f>
        <v>3</v>
      </c>
      <c r="W351" s="11" t="s">
        <v>2016</v>
      </c>
      <c r="X351" s="11">
        <f>Augmented_Data!$Z351-Augmented_Data!$AA351</f>
        <v>46</v>
      </c>
      <c r="Y351" s="11">
        <f>Augmented_Data!$N351*Augmented_Data!$O351</f>
        <v>867.24</v>
      </c>
      <c r="Z351" s="11">
        <f>Augmented_Data!$Y351+Augmented_Data!$T351</f>
        <v>913.24</v>
      </c>
      <c r="AA351" s="13">
        <f>IF(Augmented_Data!Q351="0 delivery charge",Augmented_Data!Z351-Augmented_Data!T351,Augmented_Data!Z351*(1-Augmented_Data!Q351))</f>
        <v>867.24</v>
      </c>
    </row>
    <row r="352" spans="1:27" x14ac:dyDescent="0.3">
      <c r="A352" s="14" t="s">
        <v>38</v>
      </c>
      <c r="B352" s="14" t="str">
        <f>_xlfn.CONCAT(Augmented_Data!$C352," ",Augmented_Data!$D352)</f>
        <v>Christian Clayton</v>
      </c>
      <c r="C352" s="14" t="s">
        <v>138</v>
      </c>
      <c r="D352" s="14" t="s">
        <v>219</v>
      </c>
      <c r="E352" s="14">
        <v>39</v>
      </c>
      <c r="F352" s="14" t="s">
        <v>289</v>
      </c>
      <c r="G352" s="14" t="s">
        <v>293</v>
      </c>
      <c r="H352" s="14" t="s">
        <v>319</v>
      </c>
      <c r="I352" s="14" t="s">
        <v>419</v>
      </c>
      <c r="J352" s="14" t="s">
        <v>849</v>
      </c>
      <c r="K352" s="15">
        <v>45387</v>
      </c>
      <c r="L352" s="14" t="s">
        <v>1349</v>
      </c>
      <c r="M352" s="14" t="s">
        <v>1540</v>
      </c>
      <c r="N352" s="14">
        <v>424.82</v>
      </c>
      <c r="O352" s="14">
        <v>5</v>
      </c>
      <c r="P352" s="14" t="s">
        <v>1549</v>
      </c>
      <c r="Q352" s="14" t="str">
        <f>_xlfn.IFS(Augmented_Data!$P352="FLAT8","8%",Augmented_Data!$P352="FLAT10","10%",Augmented_Data!$P352="FLAT15","15%",Augmented_Data!$P352="FLAT20","20%",Augmented_Data!$P352="DEL0","0 delivery charge")</f>
        <v>10%</v>
      </c>
      <c r="R352" s="14">
        <v>7</v>
      </c>
      <c r="S352" s="14" t="str">
        <f>_xlfn.IFS(Augmented_Data!U352-Augmented_Data!K352=Augmented_Data!$R352,"Intime",Augmented_Data!U352-Augmented_Data!K352&lt;Augmented_Data!R352,"Before Time",Augmented_Data!U352-Augmented_Data!K352&gt;Augmented_Data!R352,"Late")</f>
        <v>Before Time</v>
      </c>
      <c r="T352" s="14">
        <v>37</v>
      </c>
      <c r="U352" s="15">
        <v>45393</v>
      </c>
      <c r="V352" s="14">
        <f>DATEDIF(Augmented_Data!$K352,Augmented_Data!$U352,"D")</f>
        <v>6</v>
      </c>
      <c r="W352" s="14" t="s">
        <v>1900</v>
      </c>
      <c r="X352" s="14">
        <f>Augmented_Data!$Z352-Augmented_Data!$AA352</f>
        <v>216.1099999999999</v>
      </c>
      <c r="Y352" s="14">
        <f>Augmented_Data!$N352*Augmented_Data!$O352</f>
        <v>2124.1</v>
      </c>
      <c r="Z352" s="14">
        <f>Augmented_Data!$Y352+Augmented_Data!$T352</f>
        <v>2161.1</v>
      </c>
      <c r="AA352" s="16">
        <f>IF(Augmented_Data!Q352="0 delivery charge",Augmented_Data!Z352-Augmented_Data!T352,Augmented_Data!Z352*(1-Augmented_Data!Q352))</f>
        <v>1944.99</v>
      </c>
    </row>
    <row r="353" spans="1:27" x14ac:dyDescent="0.3">
      <c r="A353" s="11" t="s">
        <v>82</v>
      </c>
      <c r="B353" s="11" t="str">
        <f>_xlfn.CONCAT(Augmented_Data!$C353," ",Augmented_Data!$D353)</f>
        <v>Christy Chang</v>
      </c>
      <c r="C353" s="11" t="s">
        <v>172</v>
      </c>
      <c r="D353" s="11" t="s">
        <v>259</v>
      </c>
      <c r="E353" s="11">
        <v>38</v>
      </c>
      <c r="F353" s="11" t="s">
        <v>289</v>
      </c>
      <c r="G353" s="11" t="s">
        <v>298</v>
      </c>
      <c r="H353" s="11" t="s">
        <v>363</v>
      </c>
      <c r="I353" s="11" t="s">
        <v>463</v>
      </c>
      <c r="J353" s="11" t="s">
        <v>850</v>
      </c>
      <c r="K353" s="12">
        <v>45496</v>
      </c>
      <c r="L353" s="11" t="s">
        <v>1350</v>
      </c>
      <c r="M353" s="11" t="s">
        <v>1538</v>
      </c>
      <c r="N353" s="11">
        <v>433.62</v>
      </c>
      <c r="O353" s="11">
        <v>3</v>
      </c>
      <c r="P353" s="11" t="s">
        <v>1549</v>
      </c>
      <c r="Q353" s="11" t="str">
        <f>_xlfn.IFS(Augmented_Data!$P353="FLAT8","8%",Augmented_Data!$P353="FLAT10","10%",Augmented_Data!$P353="FLAT15","15%",Augmented_Data!$P353="FLAT20","20%",Augmented_Data!$P353="DEL0","0 delivery charge")</f>
        <v>10%</v>
      </c>
      <c r="R353" s="11">
        <v>2</v>
      </c>
      <c r="S353" s="11" t="str">
        <f>_xlfn.IFS(Augmented_Data!U353-Augmented_Data!K353=Augmented_Data!$R353,"Intime",Augmented_Data!U353-Augmented_Data!K353&lt;Augmented_Data!R353,"Before Time",Augmented_Data!U353-Augmented_Data!K353&gt;Augmented_Data!R353,"Late")</f>
        <v>Late</v>
      </c>
      <c r="T353" s="11">
        <v>39</v>
      </c>
      <c r="U353" s="12">
        <v>45499</v>
      </c>
      <c r="V353" s="11">
        <f>DATEDIF(Augmented_Data!$K353,Augmented_Data!$U353,"D")</f>
        <v>3</v>
      </c>
      <c r="W353" s="11" t="s">
        <v>1901</v>
      </c>
      <c r="X353" s="11">
        <f>Augmented_Data!$Z353-Augmented_Data!$AA353</f>
        <v>133.98599999999988</v>
      </c>
      <c r="Y353" s="11">
        <f>Augmented_Data!$N353*Augmented_Data!$O353</f>
        <v>1300.8600000000001</v>
      </c>
      <c r="Z353" s="11">
        <f>Augmented_Data!$Y353+Augmented_Data!$T353</f>
        <v>1339.8600000000001</v>
      </c>
      <c r="AA353" s="13">
        <f>IF(Augmented_Data!Q353="0 delivery charge",Augmented_Data!Z353-Augmented_Data!T353,Augmented_Data!Z353*(1-Augmented_Data!Q353))</f>
        <v>1205.8740000000003</v>
      </c>
    </row>
    <row r="354" spans="1:27" x14ac:dyDescent="0.3">
      <c r="A354" s="14" t="s">
        <v>97</v>
      </c>
      <c r="B354" s="14" t="str">
        <f>_xlfn.CONCAT(Augmented_Data!$C354," ",Augmented_Data!$D354)</f>
        <v>Susan Thompson</v>
      </c>
      <c r="C354" s="14" t="s">
        <v>186</v>
      </c>
      <c r="D354" s="14" t="s">
        <v>238</v>
      </c>
      <c r="E354" s="14">
        <v>37</v>
      </c>
      <c r="F354" s="14" t="s">
        <v>290</v>
      </c>
      <c r="G354" s="14" t="s">
        <v>298</v>
      </c>
      <c r="H354" s="14" t="s">
        <v>378</v>
      </c>
      <c r="I354" s="14" t="s">
        <v>478</v>
      </c>
      <c r="J354" s="14" t="s">
        <v>851</v>
      </c>
      <c r="K354" s="15">
        <v>45187</v>
      </c>
      <c r="L354" s="14" t="s">
        <v>1351</v>
      </c>
      <c r="M354" s="14" t="s">
        <v>1539</v>
      </c>
      <c r="N354" s="14">
        <v>235.63</v>
      </c>
      <c r="O354" s="14">
        <v>1</v>
      </c>
      <c r="P354" s="14" t="s">
        <v>1550</v>
      </c>
      <c r="Q354" s="14" t="str">
        <f>_xlfn.IFS(Augmented_Data!$P354="FLAT8","8%",Augmented_Data!$P354="FLAT10","10%",Augmented_Data!$P354="FLAT15","15%",Augmented_Data!$P354="FLAT20","20%",Augmented_Data!$P354="DEL0","0 delivery charge")</f>
        <v>20%</v>
      </c>
      <c r="R354" s="14">
        <v>5</v>
      </c>
      <c r="S354" s="14" t="str">
        <f>_xlfn.IFS(Augmented_Data!U354-Augmented_Data!K354=Augmented_Data!$R354,"Intime",Augmented_Data!U354-Augmented_Data!K354&lt;Augmented_Data!R354,"Before Time",Augmented_Data!U354-Augmented_Data!K354&gt;Augmented_Data!R354,"Late")</f>
        <v>Intime</v>
      </c>
      <c r="T354" s="14">
        <v>59</v>
      </c>
      <c r="U354" s="15">
        <v>45192</v>
      </c>
      <c r="V354" s="14">
        <f>DATEDIF(Augmented_Data!$K354,Augmented_Data!$U354,"D")</f>
        <v>5</v>
      </c>
      <c r="W354" s="14" t="s">
        <v>1902</v>
      </c>
      <c r="X354" s="14">
        <f>Augmented_Data!$Z354-Augmented_Data!$AA354</f>
        <v>58.925999999999988</v>
      </c>
      <c r="Y354" s="14">
        <f>Augmented_Data!$N354*Augmented_Data!$O354</f>
        <v>235.63</v>
      </c>
      <c r="Z354" s="14">
        <f>Augmented_Data!$Y354+Augmented_Data!$T354</f>
        <v>294.63</v>
      </c>
      <c r="AA354" s="16">
        <f>IF(Augmented_Data!Q354="0 delivery charge",Augmented_Data!Z354-Augmented_Data!T354,Augmented_Data!Z354*(1-Augmented_Data!Q354))</f>
        <v>235.70400000000001</v>
      </c>
    </row>
    <row r="355" spans="1:27" x14ac:dyDescent="0.3">
      <c r="A355" s="11" t="s">
        <v>112</v>
      </c>
      <c r="B355" s="11" t="str">
        <f>_xlfn.CONCAT(Augmented_Data!$C355," ",Augmented_Data!$D355)</f>
        <v>Sarah Benson</v>
      </c>
      <c r="C355" s="11" t="s">
        <v>164</v>
      </c>
      <c r="D355" s="11" t="s">
        <v>284</v>
      </c>
      <c r="E355" s="11">
        <v>40</v>
      </c>
      <c r="F355" s="11" t="s">
        <v>290</v>
      </c>
      <c r="G355" s="11" t="s">
        <v>298</v>
      </c>
      <c r="H355" s="11" t="s">
        <v>393</v>
      </c>
      <c r="I355" s="11" t="s">
        <v>493</v>
      </c>
      <c r="J355" s="11" t="s">
        <v>852</v>
      </c>
      <c r="K355" s="12">
        <v>45190</v>
      </c>
      <c r="L355" s="11" t="s">
        <v>1352</v>
      </c>
      <c r="M355" s="11" t="s">
        <v>1519</v>
      </c>
      <c r="N355" s="11">
        <v>421.7</v>
      </c>
      <c r="O355" s="11">
        <v>5</v>
      </c>
      <c r="P355" s="11" t="s">
        <v>1548</v>
      </c>
      <c r="Q355" s="11" t="str">
        <f>_xlfn.IFS(Augmented_Data!$P355="FLAT8","8%",Augmented_Data!$P355="FLAT10","10%",Augmented_Data!$P355="FLAT15","15%",Augmented_Data!$P355="FLAT20","20%",Augmented_Data!$P355="DEL0","0 delivery charge")</f>
        <v>15%</v>
      </c>
      <c r="R355" s="11">
        <v>6</v>
      </c>
      <c r="S355" s="11" t="str">
        <f>_xlfn.IFS(Augmented_Data!U355-Augmented_Data!K355=Augmented_Data!$R355,"Intime",Augmented_Data!U355-Augmented_Data!K355&lt;Augmented_Data!R355,"Before Time",Augmented_Data!U355-Augmented_Data!K355&gt;Augmented_Data!R355,"Late")</f>
        <v>Late</v>
      </c>
      <c r="T355" s="11">
        <v>58</v>
      </c>
      <c r="U355" s="12">
        <v>45197</v>
      </c>
      <c r="V355" s="11">
        <f>DATEDIF(Augmented_Data!$K355,Augmented_Data!$U355,"D")</f>
        <v>7</v>
      </c>
      <c r="W355" s="11" t="s">
        <v>1903</v>
      </c>
      <c r="X355" s="11">
        <f>Augmented_Data!$Z355-Augmented_Data!$AA355</f>
        <v>324.97500000000014</v>
      </c>
      <c r="Y355" s="11">
        <f>Augmented_Data!$N355*Augmented_Data!$O355</f>
        <v>2108.5</v>
      </c>
      <c r="Z355" s="11">
        <f>Augmented_Data!$Y355+Augmented_Data!$T355</f>
        <v>2166.5</v>
      </c>
      <c r="AA355" s="13">
        <f>IF(Augmented_Data!Q355="0 delivery charge",Augmented_Data!Z355-Augmented_Data!T355,Augmented_Data!Z355*(1-Augmented_Data!Q355))</f>
        <v>1841.5249999999999</v>
      </c>
    </row>
    <row r="356" spans="1:27" x14ac:dyDescent="0.3">
      <c r="A356" s="14" t="s">
        <v>69</v>
      </c>
      <c r="B356" s="14" t="str">
        <f>_xlfn.CONCAT(Augmented_Data!$C356," ",Augmented_Data!$D356)</f>
        <v>Sharon Thompson</v>
      </c>
      <c r="C356" s="14" t="s">
        <v>163</v>
      </c>
      <c r="D356" s="14" t="s">
        <v>238</v>
      </c>
      <c r="E356" s="14">
        <v>57</v>
      </c>
      <c r="F356" s="14" t="s">
        <v>289</v>
      </c>
      <c r="G356" s="14" t="s">
        <v>298</v>
      </c>
      <c r="H356" s="14" t="s">
        <v>350</v>
      </c>
      <c r="I356" s="14" t="s">
        <v>450</v>
      </c>
      <c r="J356" s="14" t="s">
        <v>853</v>
      </c>
      <c r="K356" s="15">
        <v>45479</v>
      </c>
      <c r="L356" s="14" t="s">
        <v>1353</v>
      </c>
      <c r="M356" s="14" t="s">
        <v>1527</v>
      </c>
      <c r="N356" s="14">
        <v>77.84</v>
      </c>
      <c r="O356" s="14">
        <v>4</v>
      </c>
      <c r="P356" s="14" t="s">
        <v>1550</v>
      </c>
      <c r="Q356" s="14" t="str">
        <f>_xlfn.IFS(Augmented_Data!$P356="FLAT8","8%",Augmented_Data!$P356="FLAT10","10%",Augmented_Data!$P356="FLAT15","15%",Augmented_Data!$P356="FLAT20","20%",Augmented_Data!$P356="DEL0","0 delivery charge")</f>
        <v>20%</v>
      </c>
      <c r="R356" s="14">
        <v>2</v>
      </c>
      <c r="S356" s="14" t="str">
        <f>_xlfn.IFS(Augmented_Data!U356-Augmented_Data!K356=Augmented_Data!$R356,"Intime",Augmented_Data!U356-Augmented_Data!K356&lt;Augmented_Data!R356,"Before Time",Augmented_Data!U356-Augmented_Data!K356&gt;Augmented_Data!R356,"Late")</f>
        <v>Late</v>
      </c>
      <c r="T356" s="14">
        <v>59</v>
      </c>
      <c r="U356" s="15">
        <v>45485</v>
      </c>
      <c r="V356" s="14">
        <f>DATEDIF(Augmented_Data!$K356,Augmented_Data!$U356,"D")</f>
        <v>6</v>
      </c>
      <c r="W356" s="14" t="s">
        <v>1904</v>
      </c>
      <c r="X356" s="14">
        <f>Augmented_Data!$Z356-Augmented_Data!$AA356</f>
        <v>74.072000000000003</v>
      </c>
      <c r="Y356" s="14">
        <f>Augmented_Data!$N356*Augmented_Data!$O356</f>
        <v>311.36</v>
      </c>
      <c r="Z356" s="14">
        <f>Augmented_Data!$Y356+Augmented_Data!$T356</f>
        <v>370.36</v>
      </c>
      <c r="AA356" s="16">
        <f>IF(Augmented_Data!Q356="0 delivery charge",Augmented_Data!Z356-Augmented_Data!T356,Augmented_Data!Z356*(1-Augmented_Data!Q356))</f>
        <v>296.28800000000001</v>
      </c>
    </row>
    <row r="357" spans="1:27" x14ac:dyDescent="0.3">
      <c r="A357" s="11" t="s">
        <v>20</v>
      </c>
      <c r="B357" s="11" t="str">
        <f>_xlfn.CONCAT(Augmented_Data!$C357," ",Augmented_Data!$D357)</f>
        <v>Hannah Gutierrez</v>
      </c>
      <c r="C357" s="11" t="s">
        <v>120</v>
      </c>
      <c r="D357" s="11" t="s">
        <v>202</v>
      </c>
      <c r="E357" s="11">
        <v>55</v>
      </c>
      <c r="F357" s="11" t="s">
        <v>289</v>
      </c>
      <c r="G357" s="11" t="s">
        <v>293</v>
      </c>
      <c r="H357" s="11" t="s">
        <v>301</v>
      </c>
      <c r="I357" s="11" t="s">
        <v>401</v>
      </c>
      <c r="J357" s="11" t="s">
        <v>747</v>
      </c>
      <c r="K357" s="12">
        <v>44982</v>
      </c>
      <c r="L357" s="11" t="s">
        <v>1247</v>
      </c>
      <c r="M357" s="11" t="s">
        <v>1532</v>
      </c>
      <c r="N357" s="11">
        <v>87.09</v>
      </c>
      <c r="O357" s="11">
        <v>2</v>
      </c>
      <c r="P357" s="11" t="s">
        <v>1548</v>
      </c>
      <c r="Q357" s="11" t="str">
        <f>_xlfn.IFS(Augmented_Data!$P357="FLAT8","8%",Augmented_Data!$P357="FLAT10","10%",Augmented_Data!$P357="FLAT15","15%",Augmented_Data!$P357="FLAT20","20%",Augmented_Data!$P357="DEL0","0 delivery charge")</f>
        <v>15%</v>
      </c>
      <c r="R357" s="11">
        <v>3</v>
      </c>
      <c r="S357" s="11" t="str">
        <f>_xlfn.IFS(Augmented_Data!U357-Augmented_Data!K357=Augmented_Data!$R357,"Intime",Augmented_Data!U357-Augmented_Data!K357&lt;Augmented_Data!R357,"Before Time",Augmented_Data!U357-Augmented_Data!K357&gt;Augmented_Data!R357,"Late")</f>
        <v>Late</v>
      </c>
      <c r="T357" s="11">
        <v>62</v>
      </c>
      <c r="U357" s="12">
        <v>44987</v>
      </c>
      <c r="V357" s="11">
        <f>DATEDIF(Augmented_Data!$K357,Augmented_Data!$U357,"D")</f>
        <v>5</v>
      </c>
      <c r="W357" s="11" t="s">
        <v>1798</v>
      </c>
      <c r="X357" s="11">
        <f>Augmented_Data!$Z357-Augmented_Data!$AA357</f>
        <v>35.426999999999992</v>
      </c>
      <c r="Y357" s="11">
        <f>Augmented_Data!$N357*Augmented_Data!$O357</f>
        <v>174.18</v>
      </c>
      <c r="Z357" s="11">
        <f>Augmented_Data!$Y357+Augmented_Data!$T357</f>
        <v>236.18</v>
      </c>
      <c r="AA357" s="13">
        <f>IF(Augmented_Data!Q357="0 delivery charge",Augmented_Data!Z357-Augmented_Data!T357,Augmented_Data!Z357*(1-Augmented_Data!Q357))</f>
        <v>200.75300000000001</v>
      </c>
    </row>
    <row r="358" spans="1:27" x14ac:dyDescent="0.3">
      <c r="A358" s="14" t="s">
        <v>109</v>
      </c>
      <c r="B358" s="14" t="str">
        <f>_xlfn.CONCAT(Augmented_Data!$C358," ",Augmented_Data!$D358)</f>
        <v>Jared Horn</v>
      </c>
      <c r="C358" s="14" t="s">
        <v>194</v>
      </c>
      <c r="D358" s="14" t="s">
        <v>283</v>
      </c>
      <c r="E358" s="14">
        <v>43</v>
      </c>
      <c r="F358" s="14" t="s">
        <v>288</v>
      </c>
      <c r="G358" s="14" t="s">
        <v>294</v>
      </c>
      <c r="H358" s="14" t="s">
        <v>390</v>
      </c>
      <c r="I358" s="14" t="s">
        <v>490</v>
      </c>
      <c r="J358" s="14" t="s">
        <v>855</v>
      </c>
      <c r="K358" s="15">
        <v>45397</v>
      </c>
      <c r="L358" s="14" t="s">
        <v>1355</v>
      </c>
      <c r="M358" s="14" t="s">
        <v>1512</v>
      </c>
      <c r="N358" s="14">
        <v>104.18</v>
      </c>
      <c r="O358" s="14">
        <v>3</v>
      </c>
      <c r="P358" s="14" t="s">
        <v>1549</v>
      </c>
      <c r="Q358" s="14" t="str">
        <f>_xlfn.IFS(Augmented_Data!$P358="FLAT8","8%",Augmented_Data!$P358="FLAT10","10%",Augmented_Data!$P358="FLAT15","15%",Augmented_Data!$P358="FLAT20","20%",Augmented_Data!$P358="DEL0","0 delivery charge")</f>
        <v>10%</v>
      </c>
      <c r="R358" s="14">
        <v>6</v>
      </c>
      <c r="S358" s="14" t="str">
        <f>_xlfn.IFS(Augmented_Data!U358-Augmented_Data!K358=Augmented_Data!$R358,"Intime",Augmented_Data!U358-Augmented_Data!K358&lt;Augmented_Data!R358,"Before Time",Augmented_Data!U358-Augmented_Data!K358&gt;Augmented_Data!R358,"Late")</f>
        <v>Before Time</v>
      </c>
      <c r="T358" s="14">
        <v>60</v>
      </c>
      <c r="U358" s="15">
        <v>45398</v>
      </c>
      <c r="V358" s="14">
        <f>DATEDIF(Augmented_Data!$K358,Augmented_Data!$U358,"D")</f>
        <v>1</v>
      </c>
      <c r="W358" s="14" t="s">
        <v>1906</v>
      </c>
      <c r="X358" s="14">
        <f>Augmented_Data!$Z358-Augmented_Data!$AA358</f>
        <v>37.254000000000019</v>
      </c>
      <c r="Y358" s="14">
        <f>Augmented_Data!$N358*Augmented_Data!$O358</f>
        <v>312.54000000000002</v>
      </c>
      <c r="Z358" s="14">
        <f>Augmented_Data!$Y358+Augmented_Data!$T358</f>
        <v>372.54</v>
      </c>
      <c r="AA358" s="16">
        <f>IF(Augmented_Data!Q358="0 delivery charge",Augmented_Data!Z358-Augmented_Data!T358,Augmented_Data!Z358*(1-Augmented_Data!Q358))</f>
        <v>335.286</v>
      </c>
    </row>
    <row r="359" spans="1:27" x14ac:dyDescent="0.3">
      <c r="A359" s="11" t="s">
        <v>94</v>
      </c>
      <c r="B359" s="11" t="str">
        <f>_xlfn.CONCAT(Augmented_Data!$C359," ",Augmented_Data!$D359)</f>
        <v>Edward Black</v>
      </c>
      <c r="C359" s="11" t="s">
        <v>183</v>
      </c>
      <c r="D359" s="11" t="s">
        <v>270</v>
      </c>
      <c r="E359" s="11">
        <v>42</v>
      </c>
      <c r="F359" s="11" t="s">
        <v>288</v>
      </c>
      <c r="G359" s="11" t="s">
        <v>295</v>
      </c>
      <c r="H359" s="11" t="s">
        <v>375</v>
      </c>
      <c r="I359" s="11" t="s">
        <v>475</v>
      </c>
      <c r="J359" s="11" t="s">
        <v>856</v>
      </c>
      <c r="K359" s="12">
        <v>45474</v>
      </c>
      <c r="L359" s="11" t="s">
        <v>1356</v>
      </c>
      <c r="M359" s="11" t="s">
        <v>1544</v>
      </c>
      <c r="N359" s="11">
        <v>107.47</v>
      </c>
      <c r="O359" s="11">
        <v>3</v>
      </c>
      <c r="P359" s="11" t="s">
        <v>1547</v>
      </c>
      <c r="Q359" s="11" t="str">
        <f>_xlfn.IFS(Augmented_Data!$P359="FLAT8","8%",Augmented_Data!$P359="FLAT10","10%",Augmented_Data!$P359="FLAT15","15%",Augmented_Data!$P359="FLAT20","20%",Augmented_Data!$P359="DEL0","0 delivery charge")</f>
        <v>0 delivery charge</v>
      </c>
      <c r="R359" s="11">
        <v>4</v>
      </c>
      <c r="S359" s="11" t="str">
        <f>_xlfn.IFS(Augmented_Data!U359-Augmented_Data!K359=Augmented_Data!$R359,"Intime",Augmented_Data!U359-Augmented_Data!K359&lt;Augmented_Data!R359,"Before Time",Augmented_Data!U359-Augmented_Data!K359&gt;Augmented_Data!R359,"Late")</f>
        <v>Late</v>
      </c>
      <c r="T359" s="11">
        <v>63</v>
      </c>
      <c r="U359" s="12">
        <v>45481</v>
      </c>
      <c r="V359" s="11">
        <f>DATEDIF(Augmented_Data!$K359,Augmented_Data!$U359,"D")</f>
        <v>7</v>
      </c>
      <c r="W359" s="11" t="s">
        <v>1907</v>
      </c>
      <c r="X359" s="11">
        <f>Augmented_Data!$Z359-Augmented_Data!$AA359</f>
        <v>63</v>
      </c>
      <c r="Y359" s="11">
        <f>Augmented_Data!$N359*Augmented_Data!$O359</f>
        <v>322.40999999999997</v>
      </c>
      <c r="Z359" s="11">
        <f>Augmented_Data!$Y359+Augmented_Data!$T359</f>
        <v>385.40999999999997</v>
      </c>
      <c r="AA359" s="13">
        <f>IF(Augmented_Data!Q359="0 delivery charge",Augmented_Data!Z359-Augmented_Data!T359,Augmented_Data!Z359*(1-Augmented_Data!Q359))</f>
        <v>322.40999999999997</v>
      </c>
    </row>
    <row r="360" spans="1:27" x14ac:dyDescent="0.3">
      <c r="A360" s="14" t="s">
        <v>90</v>
      </c>
      <c r="B360" s="14" t="str">
        <f>_xlfn.CONCAT(Augmented_Data!$C360," ",Augmented_Data!$D360)</f>
        <v>Mark Summers</v>
      </c>
      <c r="C360" s="14" t="s">
        <v>139</v>
      </c>
      <c r="D360" s="14" t="s">
        <v>266</v>
      </c>
      <c r="E360" s="14">
        <v>55</v>
      </c>
      <c r="F360" s="14" t="s">
        <v>289</v>
      </c>
      <c r="G360" s="14" t="s">
        <v>293</v>
      </c>
      <c r="H360" s="14" t="s">
        <v>371</v>
      </c>
      <c r="I360" s="14" t="s">
        <v>471</v>
      </c>
      <c r="J360" s="14" t="s">
        <v>957</v>
      </c>
      <c r="K360" s="15">
        <v>45045</v>
      </c>
      <c r="L360" s="14" t="s">
        <v>1456</v>
      </c>
      <c r="M360" s="14" t="s">
        <v>1505</v>
      </c>
      <c r="N360" s="14">
        <v>48.45</v>
      </c>
      <c r="O360" s="14">
        <v>3</v>
      </c>
      <c r="P360" s="14" t="s">
        <v>1547</v>
      </c>
      <c r="Q360" s="14" t="str">
        <f>_xlfn.IFS(Augmented_Data!$P360="FLAT8","8%",Augmented_Data!$P360="FLAT10","10%",Augmented_Data!$P360="FLAT15","15%",Augmented_Data!$P360="FLAT20","20%",Augmented_Data!$P360="DEL0","0 delivery charge")</f>
        <v>0 delivery charge</v>
      </c>
      <c r="R360" s="14">
        <v>6</v>
      </c>
      <c r="S360" s="14" t="str">
        <f>_xlfn.IFS(Augmented_Data!U360-Augmented_Data!K360=Augmented_Data!$R360,"Intime",Augmented_Data!U360-Augmented_Data!K360&lt;Augmented_Data!R360,"Before Time",Augmented_Data!U360-Augmented_Data!K360&gt;Augmented_Data!R360,"Late")</f>
        <v>Before Time</v>
      </c>
      <c r="T360" s="14">
        <v>58</v>
      </c>
      <c r="U360" s="15">
        <v>45046</v>
      </c>
      <c r="V360" s="14">
        <f>DATEDIF(Augmented_Data!$K360,Augmented_Data!$U360,"D")</f>
        <v>1</v>
      </c>
      <c r="W360" s="14" t="s">
        <v>2005</v>
      </c>
      <c r="X360" s="14">
        <f>Augmented_Data!$Z360-Augmented_Data!$AA360</f>
        <v>58</v>
      </c>
      <c r="Y360" s="14">
        <f>Augmented_Data!$N360*Augmented_Data!$O360</f>
        <v>145.35000000000002</v>
      </c>
      <c r="Z360" s="14">
        <f>Augmented_Data!$Y360+Augmented_Data!$T360</f>
        <v>203.35000000000002</v>
      </c>
      <c r="AA360" s="16">
        <f>IF(Augmented_Data!Q360="0 delivery charge",Augmented_Data!Z360-Augmented_Data!T360,Augmented_Data!Z360*(1-Augmented_Data!Q360))</f>
        <v>145.35000000000002</v>
      </c>
    </row>
    <row r="361" spans="1:27" x14ac:dyDescent="0.3">
      <c r="A361" s="11" t="s">
        <v>61</v>
      </c>
      <c r="B361" s="11" t="str">
        <f>_xlfn.CONCAT(Augmented_Data!$C361," ",Augmented_Data!$D361)</f>
        <v>Mary Knight</v>
      </c>
      <c r="C361" s="11" t="s">
        <v>158</v>
      </c>
      <c r="D361" s="11" t="s">
        <v>242</v>
      </c>
      <c r="E361" s="11">
        <v>28</v>
      </c>
      <c r="F361" s="11" t="s">
        <v>290</v>
      </c>
      <c r="G361" s="11" t="s">
        <v>295</v>
      </c>
      <c r="H361" s="11" t="s">
        <v>342</v>
      </c>
      <c r="I361" s="11" t="s">
        <v>442</v>
      </c>
      <c r="J361" s="11" t="s">
        <v>858</v>
      </c>
      <c r="K361" s="12">
        <v>45600</v>
      </c>
      <c r="L361" s="11" t="s">
        <v>1358</v>
      </c>
      <c r="M361" s="11" t="s">
        <v>1507</v>
      </c>
      <c r="N361" s="11">
        <v>257.06</v>
      </c>
      <c r="O361" s="11">
        <v>4</v>
      </c>
      <c r="P361" s="11" t="s">
        <v>1549</v>
      </c>
      <c r="Q361" s="11" t="str">
        <f>_xlfn.IFS(Augmented_Data!$P361="FLAT8","8%",Augmented_Data!$P361="FLAT10","10%",Augmented_Data!$P361="FLAT15","15%",Augmented_Data!$P361="FLAT20","20%",Augmented_Data!$P361="DEL0","0 delivery charge")</f>
        <v>10%</v>
      </c>
      <c r="R361" s="11">
        <v>6</v>
      </c>
      <c r="S361" s="11" t="str">
        <f>_xlfn.IFS(Augmented_Data!U361-Augmented_Data!K361=Augmented_Data!$R361,"Intime",Augmented_Data!U361-Augmented_Data!K361&lt;Augmented_Data!R361,"Before Time",Augmented_Data!U361-Augmented_Data!K361&gt;Augmented_Data!R361,"Late")</f>
        <v>Before Time</v>
      </c>
      <c r="T361" s="11">
        <v>69</v>
      </c>
      <c r="U361" s="12">
        <v>45603</v>
      </c>
      <c r="V361" s="11">
        <f>DATEDIF(Augmented_Data!$K361,Augmented_Data!$U361,"D")</f>
        <v>3</v>
      </c>
      <c r="W361" s="11" t="s">
        <v>1909</v>
      </c>
      <c r="X361" s="11">
        <f>Augmented_Data!$Z361-Augmented_Data!$AA361</f>
        <v>109.72399999999993</v>
      </c>
      <c r="Y361" s="11">
        <f>Augmented_Data!$N361*Augmented_Data!$O361</f>
        <v>1028.24</v>
      </c>
      <c r="Z361" s="11">
        <f>Augmented_Data!$Y361+Augmented_Data!$T361</f>
        <v>1097.24</v>
      </c>
      <c r="AA361" s="13">
        <f>IF(Augmented_Data!Q361="0 delivery charge",Augmented_Data!Z361-Augmented_Data!T361,Augmented_Data!Z361*(1-Augmented_Data!Q361))</f>
        <v>987.51600000000008</v>
      </c>
    </row>
    <row r="362" spans="1:27" x14ac:dyDescent="0.3">
      <c r="A362" s="14" t="s">
        <v>74</v>
      </c>
      <c r="B362" s="14" t="str">
        <f>_xlfn.CONCAT(Augmented_Data!$C362," ",Augmented_Data!$D362)</f>
        <v>Jodi Whitney</v>
      </c>
      <c r="C362" s="14" t="s">
        <v>167</v>
      </c>
      <c r="D362" s="14" t="s">
        <v>252</v>
      </c>
      <c r="E362" s="14">
        <v>33</v>
      </c>
      <c r="F362" s="14" t="s">
        <v>290</v>
      </c>
      <c r="G362" s="14" t="s">
        <v>297</v>
      </c>
      <c r="H362" s="14" t="s">
        <v>355</v>
      </c>
      <c r="I362" s="14" t="s">
        <v>455</v>
      </c>
      <c r="J362" s="14" t="s">
        <v>859</v>
      </c>
      <c r="K362" s="15">
        <v>45553</v>
      </c>
      <c r="L362" s="14" t="s">
        <v>1359</v>
      </c>
      <c r="M362" s="14" t="s">
        <v>1536</v>
      </c>
      <c r="N362" s="14">
        <v>403.03</v>
      </c>
      <c r="O362" s="14">
        <v>4</v>
      </c>
      <c r="P362" s="14" t="s">
        <v>1549</v>
      </c>
      <c r="Q362" s="14" t="str">
        <f>_xlfn.IFS(Augmented_Data!$P362="FLAT8","8%",Augmented_Data!$P362="FLAT10","10%",Augmented_Data!$P362="FLAT15","15%",Augmented_Data!$P362="FLAT20","20%",Augmented_Data!$P362="DEL0","0 delivery charge")</f>
        <v>10%</v>
      </c>
      <c r="R362" s="14">
        <v>7</v>
      </c>
      <c r="S362" s="14" t="str">
        <f>_xlfn.IFS(Augmented_Data!U362-Augmented_Data!K362=Augmented_Data!$R362,"Intime",Augmented_Data!U362-Augmented_Data!K362&lt;Augmented_Data!R362,"Before Time",Augmented_Data!U362-Augmented_Data!K362&gt;Augmented_Data!R362,"Late")</f>
        <v>Before Time</v>
      </c>
      <c r="T362" s="14">
        <v>65</v>
      </c>
      <c r="U362" s="15">
        <v>45556</v>
      </c>
      <c r="V362" s="14">
        <f>DATEDIF(Augmented_Data!$K362,Augmented_Data!$U362,"D")</f>
        <v>3</v>
      </c>
      <c r="W362" s="14" t="s">
        <v>1910</v>
      </c>
      <c r="X362" s="14">
        <f>Augmented_Data!$Z362-Augmented_Data!$AA362</f>
        <v>167.71199999999999</v>
      </c>
      <c r="Y362" s="14">
        <f>Augmented_Data!$N362*Augmented_Data!$O362</f>
        <v>1612.12</v>
      </c>
      <c r="Z362" s="14">
        <f>Augmented_Data!$Y362+Augmented_Data!$T362</f>
        <v>1677.12</v>
      </c>
      <c r="AA362" s="16">
        <f>IF(Augmented_Data!Q362="0 delivery charge",Augmented_Data!Z362-Augmented_Data!T362,Augmented_Data!Z362*(1-Augmented_Data!Q362))</f>
        <v>1509.4079999999999</v>
      </c>
    </row>
    <row r="363" spans="1:27" x14ac:dyDescent="0.3">
      <c r="A363" s="11" t="s">
        <v>82</v>
      </c>
      <c r="B363" s="11" t="str">
        <f>_xlfn.CONCAT(Augmented_Data!$C363," ",Augmented_Data!$D363)</f>
        <v>Christy Chang</v>
      </c>
      <c r="C363" s="11" t="s">
        <v>172</v>
      </c>
      <c r="D363" s="11" t="s">
        <v>259</v>
      </c>
      <c r="E363" s="11">
        <v>38</v>
      </c>
      <c r="F363" s="11" t="s">
        <v>289</v>
      </c>
      <c r="G363" s="11" t="s">
        <v>298</v>
      </c>
      <c r="H363" s="11" t="s">
        <v>363</v>
      </c>
      <c r="I363" s="11" t="s">
        <v>463</v>
      </c>
      <c r="J363" s="11" t="s">
        <v>860</v>
      </c>
      <c r="K363" s="12">
        <v>45059</v>
      </c>
      <c r="L363" s="11" t="s">
        <v>1360</v>
      </c>
      <c r="M363" s="11" t="s">
        <v>1505</v>
      </c>
      <c r="N363" s="11">
        <v>48.45</v>
      </c>
      <c r="O363" s="11">
        <v>1</v>
      </c>
      <c r="P363" s="11" t="s">
        <v>1549</v>
      </c>
      <c r="Q363" s="11" t="str">
        <f>_xlfn.IFS(Augmented_Data!$P363="FLAT8","8%",Augmented_Data!$P363="FLAT10","10%",Augmented_Data!$P363="FLAT15","15%",Augmented_Data!$P363="FLAT20","20%",Augmented_Data!$P363="DEL0","0 delivery charge")</f>
        <v>10%</v>
      </c>
      <c r="R363" s="11">
        <v>2</v>
      </c>
      <c r="S363" s="11" t="str">
        <f>_xlfn.IFS(Augmented_Data!U363-Augmented_Data!K363=Augmented_Data!$R363,"Intime",Augmented_Data!U363-Augmented_Data!K363&lt;Augmented_Data!R363,"Before Time",Augmented_Data!U363-Augmented_Data!K363&gt;Augmented_Data!R363,"Late")</f>
        <v>Late</v>
      </c>
      <c r="T363" s="11">
        <v>41</v>
      </c>
      <c r="U363" s="12">
        <v>45062</v>
      </c>
      <c r="V363" s="11">
        <f>DATEDIF(Augmented_Data!$K363,Augmented_Data!$U363,"D")</f>
        <v>3</v>
      </c>
      <c r="W363" s="11" t="s">
        <v>1911</v>
      </c>
      <c r="X363" s="11">
        <f>Augmented_Data!$Z363-Augmented_Data!$AA363</f>
        <v>8.9449999999999932</v>
      </c>
      <c r="Y363" s="11">
        <f>Augmented_Data!$N363*Augmented_Data!$O363</f>
        <v>48.45</v>
      </c>
      <c r="Z363" s="11">
        <f>Augmented_Data!$Y363+Augmented_Data!$T363</f>
        <v>89.45</v>
      </c>
      <c r="AA363" s="13">
        <f>IF(Augmented_Data!Q363="0 delivery charge",Augmented_Data!Z363-Augmented_Data!T363,Augmented_Data!Z363*(1-Augmented_Data!Q363))</f>
        <v>80.50500000000001</v>
      </c>
    </row>
    <row r="364" spans="1:27" x14ac:dyDescent="0.3">
      <c r="A364" s="14" t="s">
        <v>83</v>
      </c>
      <c r="B364" s="14" t="str">
        <f>_xlfn.CONCAT(Augmented_Data!$C364," ",Augmented_Data!$D364)</f>
        <v>Troy Gomez</v>
      </c>
      <c r="C364" s="14" t="s">
        <v>173</v>
      </c>
      <c r="D364" s="14" t="s">
        <v>260</v>
      </c>
      <c r="E364" s="14">
        <v>68</v>
      </c>
      <c r="F364" s="14" t="s">
        <v>288</v>
      </c>
      <c r="G364" s="14" t="s">
        <v>298</v>
      </c>
      <c r="H364" s="14" t="s">
        <v>364</v>
      </c>
      <c r="I364" s="14" t="s">
        <v>464</v>
      </c>
      <c r="J364" s="14" t="s">
        <v>861</v>
      </c>
      <c r="K364" s="15">
        <v>45007</v>
      </c>
      <c r="L364" s="14" t="s">
        <v>1361</v>
      </c>
      <c r="M364" s="14" t="s">
        <v>1500</v>
      </c>
      <c r="N364" s="14">
        <v>44.5</v>
      </c>
      <c r="O364" s="14">
        <v>5</v>
      </c>
      <c r="P364" s="14" t="s">
        <v>1549</v>
      </c>
      <c r="Q364" s="14" t="str">
        <f>_xlfn.IFS(Augmented_Data!$P364="FLAT8","8%",Augmented_Data!$P364="FLAT10","10%",Augmented_Data!$P364="FLAT15","15%",Augmented_Data!$P364="FLAT20","20%",Augmented_Data!$P364="DEL0","0 delivery charge")</f>
        <v>10%</v>
      </c>
      <c r="R364" s="14">
        <v>4</v>
      </c>
      <c r="S364" s="14" t="str">
        <f>_xlfn.IFS(Augmented_Data!U364-Augmented_Data!K364=Augmented_Data!$R364,"Intime",Augmented_Data!U364-Augmented_Data!K364&lt;Augmented_Data!R364,"Before Time",Augmented_Data!U364-Augmented_Data!K364&gt;Augmented_Data!R364,"Late")</f>
        <v>Late</v>
      </c>
      <c r="T364" s="14">
        <v>55</v>
      </c>
      <c r="U364" s="15">
        <v>45012</v>
      </c>
      <c r="V364" s="14">
        <f>DATEDIF(Augmented_Data!$K364,Augmented_Data!$U364,"D")</f>
        <v>5</v>
      </c>
      <c r="W364" s="14" t="s">
        <v>1912</v>
      </c>
      <c r="X364" s="14">
        <f>Augmented_Data!$Z364-Augmented_Data!$AA364</f>
        <v>27.75</v>
      </c>
      <c r="Y364" s="14">
        <f>Augmented_Data!$N364*Augmented_Data!$O364</f>
        <v>222.5</v>
      </c>
      <c r="Z364" s="14">
        <f>Augmented_Data!$Y364+Augmented_Data!$T364</f>
        <v>277.5</v>
      </c>
      <c r="AA364" s="16">
        <f>IF(Augmented_Data!Q364="0 delivery charge",Augmented_Data!Z364-Augmented_Data!T364,Augmented_Data!Z364*(1-Augmented_Data!Q364))</f>
        <v>249.75</v>
      </c>
    </row>
    <row r="365" spans="1:27" x14ac:dyDescent="0.3">
      <c r="A365" s="11" t="s">
        <v>63</v>
      </c>
      <c r="B365" s="11" t="str">
        <f>_xlfn.CONCAT(Augmented_Data!$C365," ",Augmented_Data!$D365)</f>
        <v>Lauren Crane</v>
      </c>
      <c r="C365" s="11" t="s">
        <v>144</v>
      </c>
      <c r="D365" s="11" t="s">
        <v>244</v>
      </c>
      <c r="E365" s="11">
        <v>62</v>
      </c>
      <c r="F365" s="11" t="s">
        <v>289</v>
      </c>
      <c r="G365" s="11" t="s">
        <v>292</v>
      </c>
      <c r="H365" s="11" t="s">
        <v>344</v>
      </c>
      <c r="I365" s="11" t="s">
        <v>444</v>
      </c>
      <c r="J365" s="11" t="s">
        <v>556</v>
      </c>
      <c r="K365" s="12">
        <v>45678</v>
      </c>
      <c r="L365" s="11" t="s">
        <v>1056</v>
      </c>
      <c r="M365" s="11" t="s">
        <v>1529</v>
      </c>
      <c r="N365" s="11">
        <v>128.13999999999999</v>
      </c>
      <c r="O365" s="11">
        <v>5</v>
      </c>
      <c r="P365" s="11" t="s">
        <v>1550</v>
      </c>
      <c r="Q365" s="11" t="str">
        <f>_xlfn.IFS(Augmented_Data!$P365="FLAT8","8%",Augmented_Data!$P365="FLAT10","10%",Augmented_Data!$P365="FLAT15","15%",Augmented_Data!$P365="FLAT20","20%",Augmented_Data!$P365="DEL0","0 delivery charge")</f>
        <v>20%</v>
      </c>
      <c r="R365" s="11">
        <v>7</v>
      </c>
      <c r="S365" s="11" t="str">
        <f>_xlfn.IFS(Augmented_Data!U365-Augmented_Data!K365=Augmented_Data!$R365,"Intime",Augmented_Data!U365-Augmented_Data!K365&lt;Augmented_Data!R365,"Before Time",Augmented_Data!U365-Augmented_Data!K365&gt;Augmented_Data!R365,"Late")</f>
        <v>Intime</v>
      </c>
      <c r="T365" s="11">
        <v>68</v>
      </c>
      <c r="U365" s="12">
        <v>45685</v>
      </c>
      <c r="V365" s="11">
        <f>DATEDIF(Augmented_Data!$K365,Augmented_Data!$U365,"D")</f>
        <v>7</v>
      </c>
      <c r="W365" s="11" t="s">
        <v>1608</v>
      </c>
      <c r="X365" s="11">
        <f>Augmented_Data!$Z365-Augmented_Data!$AA365</f>
        <v>141.74</v>
      </c>
      <c r="Y365" s="11">
        <f>Augmented_Data!$N365*Augmented_Data!$O365</f>
        <v>640.69999999999993</v>
      </c>
      <c r="Z365" s="11">
        <f>Augmented_Data!$Y365+Augmented_Data!$T365</f>
        <v>708.69999999999993</v>
      </c>
      <c r="AA365" s="13">
        <f>IF(Augmented_Data!Q365="0 delivery charge",Augmented_Data!Z365-Augmented_Data!T365,Augmented_Data!Z365*(1-Augmented_Data!Q365))</f>
        <v>566.95999999999992</v>
      </c>
    </row>
    <row r="366" spans="1:27" x14ac:dyDescent="0.3">
      <c r="A366" s="14" t="s">
        <v>91</v>
      </c>
      <c r="B366" s="14" t="str">
        <f>_xlfn.CONCAT(Augmented_Data!$C366," ",Augmented_Data!$D366)</f>
        <v>Barbara Fuller</v>
      </c>
      <c r="C366" s="14" t="s">
        <v>180</v>
      </c>
      <c r="D366" s="14" t="s">
        <v>267</v>
      </c>
      <c r="E366" s="14">
        <v>43</v>
      </c>
      <c r="F366" s="14" t="s">
        <v>290</v>
      </c>
      <c r="G366" s="14" t="s">
        <v>293</v>
      </c>
      <c r="H366" s="14" t="s">
        <v>372</v>
      </c>
      <c r="I366" s="14" t="s">
        <v>472</v>
      </c>
      <c r="J366" s="14" t="s">
        <v>863</v>
      </c>
      <c r="K366" s="15">
        <v>44978</v>
      </c>
      <c r="L366" s="14" t="s">
        <v>1363</v>
      </c>
      <c r="M366" s="14" t="s">
        <v>1530</v>
      </c>
      <c r="N366" s="14">
        <v>369.03</v>
      </c>
      <c r="O366" s="14">
        <v>2</v>
      </c>
      <c r="P366" s="14" t="s">
        <v>1549</v>
      </c>
      <c r="Q366" s="14" t="str">
        <f>_xlfn.IFS(Augmented_Data!$P366="FLAT8","8%",Augmented_Data!$P366="FLAT10","10%",Augmented_Data!$P366="FLAT15","15%",Augmented_Data!$P366="FLAT20","20%",Augmented_Data!$P366="DEL0","0 delivery charge")</f>
        <v>10%</v>
      </c>
      <c r="R366" s="14">
        <v>6</v>
      </c>
      <c r="S366" s="14" t="str">
        <f>_xlfn.IFS(Augmented_Data!U366-Augmented_Data!K366=Augmented_Data!$R366,"Intime",Augmented_Data!U366-Augmented_Data!K366&lt;Augmented_Data!R366,"Before Time",Augmented_Data!U366-Augmented_Data!K366&gt;Augmented_Data!R366,"Late")</f>
        <v>Before Time</v>
      </c>
      <c r="T366" s="14">
        <v>55</v>
      </c>
      <c r="U366" s="15">
        <v>44981</v>
      </c>
      <c r="V366" s="14">
        <f>DATEDIF(Augmented_Data!$K366,Augmented_Data!$U366,"D")</f>
        <v>3</v>
      </c>
      <c r="W366" s="14" t="s">
        <v>1914</v>
      </c>
      <c r="X366" s="14">
        <f>Augmented_Data!$Z366-Augmented_Data!$AA366</f>
        <v>79.305999999999926</v>
      </c>
      <c r="Y366" s="14">
        <f>Augmented_Data!$N366*Augmented_Data!$O366</f>
        <v>738.06</v>
      </c>
      <c r="Z366" s="14">
        <f>Augmented_Data!$Y366+Augmented_Data!$T366</f>
        <v>793.06</v>
      </c>
      <c r="AA366" s="16">
        <f>IF(Augmented_Data!Q366="0 delivery charge",Augmented_Data!Z366-Augmented_Data!T366,Augmented_Data!Z366*(1-Augmented_Data!Q366))</f>
        <v>713.75400000000002</v>
      </c>
    </row>
    <row r="367" spans="1:27" x14ac:dyDescent="0.3">
      <c r="A367" s="11" t="s">
        <v>20</v>
      </c>
      <c r="B367" s="11" t="str">
        <f>_xlfn.CONCAT(Augmented_Data!$C367," ",Augmented_Data!$D367)</f>
        <v>Hannah Gutierrez</v>
      </c>
      <c r="C367" s="11" t="s">
        <v>120</v>
      </c>
      <c r="D367" s="11" t="s">
        <v>202</v>
      </c>
      <c r="E367" s="11">
        <v>55</v>
      </c>
      <c r="F367" s="11" t="s">
        <v>289</v>
      </c>
      <c r="G367" s="11" t="s">
        <v>293</v>
      </c>
      <c r="H367" s="11" t="s">
        <v>301</v>
      </c>
      <c r="I367" s="11" t="s">
        <v>401</v>
      </c>
      <c r="J367" s="11" t="s">
        <v>796</v>
      </c>
      <c r="K367" s="12">
        <v>45421</v>
      </c>
      <c r="L367" s="11" t="s">
        <v>1296</v>
      </c>
      <c r="M367" s="11" t="s">
        <v>1507</v>
      </c>
      <c r="N367" s="11">
        <v>257.06</v>
      </c>
      <c r="O367" s="11">
        <v>1</v>
      </c>
      <c r="P367" s="11" t="s">
        <v>1550</v>
      </c>
      <c r="Q367" s="11" t="str">
        <f>_xlfn.IFS(Augmented_Data!$P367="FLAT8","8%",Augmented_Data!$P367="FLAT10","10%",Augmented_Data!$P367="FLAT15","15%",Augmented_Data!$P367="FLAT20","20%",Augmented_Data!$P367="DEL0","0 delivery charge")</f>
        <v>20%</v>
      </c>
      <c r="R367" s="11">
        <v>4</v>
      </c>
      <c r="S367" s="11" t="str">
        <f>_xlfn.IFS(Augmented_Data!U367-Augmented_Data!K367=Augmented_Data!$R367,"Intime",Augmented_Data!U367-Augmented_Data!K367&lt;Augmented_Data!R367,"Before Time",Augmented_Data!U367-Augmented_Data!K367&gt;Augmented_Data!R367,"Late")</f>
        <v>Before Time</v>
      </c>
      <c r="T367" s="11">
        <v>42</v>
      </c>
      <c r="U367" s="12">
        <v>45423</v>
      </c>
      <c r="V367" s="11">
        <f>DATEDIF(Augmented_Data!$K367,Augmented_Data!$U367,"D")</f>
        <v>2</v>
      </c>
      <c r="W367" s="11" t="s">
        <v>1847</v>
      </c>
      <c r="X367" s="11">
        <f>Augmented_Data!$Z367-Augmented_Data!$AA367</f>
        <v>59.811999999999983</v>
      </c>
      <c r="Y367" s="11">
        <f>Augmented_Data!$N367*Augmented_Data!$O367</f>
        <v>257.06</v>
      </c>
      <c r="Z367" s="11">
        <f>Augmented_Data!$Y367+Augmented_Data!$T367</f>
        <v>299.06</v>
      </c>
      <c r="AA367" s="13">
        <f>IF(Augmented_Data!Q367="0 delivery charge",Augmented_Data!Z367-Augmented_Data!T367,Augmented_Data!Z367*(1-Augmented_Data!Q367))</f>
        <v>239.24800000000002</v>
      </c>
    </row>
    <row r="368" spans="1:27" x14ac:dyDescent="0.3">
      <c r="A368" s="14" t="s">
        <v>37</v>
      </c>
      <c r="B368" s="14" t="str">
        <f>_xlfn.CONCAT(Augmented_Data!$C368," ",Augmented_Data!$D368)</f>
        <v>Deborah Bates</v>
      </c>
      <c r="C368" s="14" t="s">
        <v>137</v>
      </c>
      <c r="D368" s="14" t="s">
        <v>218</v>
      </c>
      <c r="E368" s="14">
        <v>23</v>
      </c>
      <c r="F368" s="14" t="s">
        <v>288</v>
      </c>
      <c r="G368" s="14" t="s">
        <v>296</v>
      </c>
      <c r="H368" s="14" t="s">
        <v>318</v>
      </c>
      <c r="I368" s="14" t="s">
        <v>418</v>
      </c>
      <c r="J368" s="14" t="s">
        <v>865</v>
      </c>
      <c r="K368" s="15">
        <v>45225</v>
      </c>
      <c r="L368" s="14" t="s">
        <v>1365</v>
      </c>
      <c r="M368" s="14" t="s">
        <v>1545</v>
      </c>
      <c r="N368" s="14">
        <v>292.14999999999998</v>
      </c>
      <c r="O368" s="14">
        <v>3</v>
      </c>
      <c r="P368" s="14" t="s">
        <v>1547</v>
      </c>
      <c r="Q368" s="14" t="str">
        <f>_xlfn.IFS(Augmented_Data!$P368="FLAT8","8%",Augmented_Data!$P368="FLAT10","10%",Augmented_Data!$P368="FLAT15","15%",Augmented_Data!$P368="FLAT20","20%",Augmented_Data!$P368="DEL0","0 delivery charge")</f>
        <v>0 delivery charge</v>
      </c>
      <c r="R368" s="14">
        <v>3</v>
      </c>
      <c r="S368" s="14" t="str">
        <f>_xlfn.IFS(Augmented_Data!U368-Augmented_Data!K368=Augmented_Data!$R368,"Intime",Augmented_Data!U368-Augmented_Data!K368&lt;Augmented_Data!R368,"Before Time",Augmented_Data!U368-Augmented_Data!K368&gt;Augmented_Data!R368,"Late")</f>
        <v>Before Time</v>
      </c>
      <c r="T368" s="14">
        <v>51</v>
      </c>
      <c r="U368" s="15">
        <v>45227</v>
      </c>
      <c r="V368" s="14">
        <f>DATEDIF(Augmented_Data!$K368,Augmented_Data!$U368,"D")</f>
        <v>2</v>
      </c>
      <c r="W368" s="14" t="s">
        <v>1916</v>
      </c>
      <c r="X368" s="14">
        <f>Augmented_Data!$Z368-Augmented_Data!$AA368</f>
        <v>51</v>
      </c>
      <c r="Y368" s="14">
        <f>Augmented_Data!$N368*Augmented_Data!$O368</f>
        <v>876.44999999999993</v>
      </c>
      <c r="Z368" s="14">
        <f>Augmented_Data!$Y368+Augmented_Data!$T368</f>
        <v>927.44999999999993</v>
      </c>
      <c r="AA368" s="16">
        <f>IF(Augmented_Data!Q368="0 delivery charge",Augmented_Data!Z368-Augmented_Data!T368,Augmented_Data!Z368*(1-Augmented_Data!Q368))</f>
        <v>876.44999999999993</v>
      </c>
    </row>
    <row r="369" spans="1:27" x14ac:dyDescent="0.3">
      <c r="A369" s="11" t="s">
        <v>107</v>
      </c>
      <c r="B369" s="11" t="str">
        <f>_xlfn.CONCAT(Augmented_Data!$C369," ",Augmented_Data!$D369)</f>
        <v>Angela Casey</v>
      </c>
      <c r="C369" s="11" t="s">
        <v>122</v>
      </c>
      <c r="D369" s="11" t="s">
        <v>281</v>
      </c>
      <c r="E369" s="11">
        <v>40</v>
      </c>
      <c r="F369" s="11" t="s">
        <v>288</v>
      </c>
      <c r="G369" s="11" t="s">
        <v>295</v>
      </c>
      <c r="H369" s="11" t="s">
        <v>388</v>
      </c>
      <c r="I369" s="11" t="s">
        <v>488</v>
      </c>
      <c r="J369" s="11" t="s">
        <v>866</v>
      </c>
      <c r="K369" s="12">
        <v>45193</v>
      </c>
      <c r="L369" s="11" t="s">
        <v>1366</v>
      </c>
      <c r="M369" s="11" t="s">
        <v>1517</v>
      </c>
      <c r="N369" s="11">
        <v>282.63</v>
      </c>
      <c r="O369" s="11">
        <v>2</v>
      </c>
      <c r="P369" s="11" t="s">
        <v>1548</v>
      </c>
      <c r="Q369" s="11" t="str">
        <f>_xlfn.IFS(Augmented_Data!$P369="FLAT8","8%",Augmented_Data!$P369="FLAT10","10%",Augmented_Data!$P369="FLAT15","15%",Augmented_Data!$P369="FLAT20","20%",Augmented_Data!$P369="DEL0","0 delivery charge")</f>
        <v>15%</v>
      </c>
      <c r="R369" s="11">
        <v>6</v>
      </c>
      <c r="S369" s="11" t="str">
        <f>_xlfn.IFS(Augmented_Data!U369-Augmented_Data!K369=Augmented_Data!$R369,"Intime",Augmented_Data!U369-Augmented_Data!K369&lt;Augmented_Data!R369,"Before Time",Augmented_Data!U369-Augmented_Data!K369&gt;Augmented_Data!R369,"Late")</f>
        <v>Before Time</v>
      </c>
      <c r="T369" s="11">
        <v>62</v>
      </c>
      <c r="U369" s="12">
        <v>45194</v>
      </c>
      <c r="V369" s="11">
        <f>DATEDIF(Augmented_Data!$K369,Augmented_Data!$U369,"D")</f>
        <v>1</v>
      </c>
      <c r="W369" s="11" t="s">
        <v>1917</v>
      </c>
      <c r="X369" s="11">
        <f>Augmented_Data!$Z369-Augmented_Data!$AA369</f>
        <v>94.089000000000055</v>
      </c>
      <c r="Y369" s="11">
        <f>Augmented_Data!$N369*Augmented_Data!$O369</f>
        <v>565.26</v>
      </c>
      <c r="Z369" s="11">
        <f>Augmented_Data!$Y369+Augmented_Data!$T369</f>
        <v>627.26</v>
      </c>
      <c r="AA369" s="13">
        <f>IF(Augmented_Data!Q369="0 delivery charge",Augmented_Data!Z369-Augmented_Data!T369,Augmented_Data!Z369*(1-Augmented_Data!Q369))</f>
        <v>533.17099999999994</v>
      </c>
    </row>
    <row r="370" spans="1:27" x14ac:dyDescent="0.3">
      <c r="A370" s="14" t="s">
        <v>33</v>
      </c>
      <c r="B370" s="14" t="str">
        <f>_xlfn.CONCAT(Augmented_Data!$C370," ",Augmented_Data!$D370)</f>
        <v>Erin Miller</v>
      </c>
      <c r="C370" s="14" t="s">
        <v>133</v>
      </c>
      <c r="D370" s="14" t="s">
        <v>215</v>
      </c>
      <c r="E370" s="14">
        <v>46</v>
      </c>
      <c r="F370" s="14" t="s">
        <v>288</v>
      </c>
      <c r="G370" s="14" t="s">
        <v>297</v>
      </c>
      <c r="H370" s="14" t="s">
        <v>314</v>
      </c>
      <c r="I370" s="14" t="s">
        <v>414</v>
      </c>
      <c r="J370" s="14" t="s">
        <v>867</v>
      </c>
      <c r="K370" s="15">
        <v>45473</v>
      </c>
      <c r="L370" s="14" t="s">
        <v>1367</v>
      </c>
      <c r="M370" s="14" t="s">
        <v>1511</v>
      </c>
      <c r="N370" s="14">
        <v>272.51</v>
      </c>
      <c r="O370" s="14">
        <v>3</v>
      </c>
      <c r="P370" s="14" t="s">
        <v>2047</v>
      </c>
      <c r="Q370" s="14" t="str">
        <f>_xlfn.IFS(Augmented_Data!$P370="FLAT8","8%",Augmented_Data!$P370="FLAT10","10%",Augmented_Data!$P370="FLAT15","15%",Augmented_Data!$P370="FLAT20","20%",Augmented_Data!$P370="DEL0","0 delivery charge")</f>
        <v>8%</v>
      </c>
      <c r="R370" s="14">
        <v>5</v>
      </c>
      <c r="S370" s="14" t="str">
        <f>_xlfn.IFS(Augmented_Data!U370-Augmented_Data!K370=Augmented_Data!$R370,"Intime",Augmented_Data!U370-Augmented_Data!K370&lt;Augmented_Data!R370,"Before Time",Augmented_Data!U370-Augmented_Data!K370&gt;Augmented_Data!R370,"Late")</f>
        <v>Late</v>
      </c>
      <c r="T370" s="14">
        <v>66</v>
      </c>
      <c r="U370" s="15">
        <v>45479</v>
      </c>
      <c r="V370" s="14">
        <f>DATEDIF(Augmented_Data!$K370,Augmented_Data!$U370,"D")</f>
        <v>6</v>
      </c>
      <c r="W370" s="14" t="s">
        <v>1918</v>
      </c>
      <c r="X370" s="14">
        <f>Augmented_Data!$Z370-Augmented_Data!$AA370</f>
        <v>70.682399999999916</v>
      </c>
      <c r="Y370" s="14">
        <f>Augmented_Data!$N370*Augmented_Data!$O370</f>
        <v>817.53</v>
      </c>
      <c r="Z370" s="14">
        <f>Augmented_Data!$Y370+Augmented_Data!$T370</f>
        <v>883.53</v>
      </c>
      <c r="AA370" s="16">
        <f>IF(Augmented_Data!Q370="0 delivery charge",Augmented_Data!Z370-Augmented_Data!T370,Augmented_Data!Z370*(1-Augmented_Data!Q370))</f>
        <v>812.84760000000006</v>
      </c>
    </row>
    <row r="371" spans="1:27" x14ac:dyDescent="0.3">
      <c r="A371" s="11" t="s">
        <v>60</v>
      </c>
      <c r="B371" s="11" t="str">
        <f>_xlfn.CONCAT(Augmented_Data!$C371," ",Augmented_Data!$D371)</f>
        <v>Amanda Howard</v>
      </c>
      <c r="C371" s="11" t="s">
        <v>157</v>
      </c>
      <c r="D371" s="11" t="s">
        <v>241</v>
      </c>
      <c r="E371" s="11">
        <v>52</v>
      </c>
      <c r="F371" s="11" t="s">
        <v>290</v>
      </c>
      <c r="G371" s="11" t="s">
        <v>298</v>
      </c>
      <c r="H371" s="11" t="s">
        <v>341</v>
      </c>
      <c r="I371" s="11" t="s">
        <v>441</v>
      </c>
      <c r="J371" s="11" t="s">
        <v>868</v>
      </c>
      <c r="K371" s="12">
        <v>44975</v>
      </c>
      <c r="L371" s="11" t="s">
        <v>1368</v>
      </c>
      <c r="M371" s="11" t="s">
        <v>1501</v>
      </c>
      <c r="N371" s="11">
        <v>330.11</v>
      </c>
      <c r="O371" s="11">
        <v>2</v>
      </c>
      <c r="P371" s="11" t="s">
        <v>1547</v>
      </c>
      <c r="Q371" s="11" t="str">
        <f>_xlfn.IFS(Augmented_Data!$P371="FLAT8","8%",Augmented_Data!$P371="FLAT10","10%",Augmented_Data!$P371="FLAT15","15%",Augmented_Data!$P371="FLAT20","20%",Augmented_Data!$P371="DEL0","0 delivery charge")</f>
        <v>0 delivery charge</v>
      </c>
      <c r="R371" s="11">
        <v>3</v>
      </c>
      <c r="S371" s="11" t="str">
        <f>_xlfn.IFS(Augmented_Data!U371-Augmented_Data!K371=Augmented_Data!$R371,"Intime",Augmented_Data!U371-Augmented_Data!K371&lt;Augmented_Data!R371,"Before Time",Augmented_Data!U371-Augmented_Data!K371&gt;Augmented_Data!R371,"Late")</f>
        <v>Before Time</v>
      </c>
      <c r="T371" s="11">
        <v>55</v>
      </c>
      <c r="U371" s="12">
        <v>44976</v>
      </c>
      <c r="V371" s="11">
        <f>DATEDIF(Augmented_Data!$K371,Augmented_Data!$U371,"D")</f>
        <v>1</v>
      </c>
      <c r="W371" s="11" t="s">
        <v>1919</v>
      </c>
      <c r="X371" s="11">
        <f>Augmented_Data!$Z371-Augmented_Data!$AA371</f>
        <v>55</v>
      </c>
      <c r="Y371" s="11">
        <f>Augmented_Data!$N371*Augmented_Data!$O371</f>
        <v>660.22</v>
      </c>
      <c r="Z371" s="11">
        <f>Augmented_Data!$Y371+Augmented_Data!$T371</f>
        <v>715.22</v>
      </c>
      <c r="AA371" s="13">
        <f>IF(Augmented_Data!Q371="0 delivery charge",Augmented_Data!Z371-Augmented_Data!T371,Augmented_Data!Z371*(1-Augmented_Data!Q371))</f>
        <v>660.22</v>
      </c>
    </row>
    <row r="372" spans="1:27" x14ac:dyDescent="0.3">
      <c r="A372" s="14" t="s">
        <v>32</v>
      </c>
      <c r="B372" s="14" t="str">
        <f>_xlfn.CONCAT(Augmented_Data!$C372," ",Augmented_Data!$D372)</f>
        <v>Joshua Campbell</v>
      </c>
      <c r="C372" s="14" t="s">
        <v>132</v>
      </c>
      <c r="D372" s="14" t="s">
        <v>214</v>
      </c>
      <c r="E372" s="14">
        <v>24</v>
      </c>
      <c r="F372" s="14" t="s">
        <v>288</v>
      </c>
      <c r="G372" s="14" t="s">
        <v>293</v>
      </c>
      <c r="H372" s="14" t="s">
        <v>313</v>
      </c>
      <c r="I372" s="14" t="s">
        <v>413</v>
      </c>
      <c r="J372" s="14" t="s">
        <v>869</v>
      </c>
      <c r="K372" s="15">
        <v>45485</v>
      </c>
      <c r="L372" s="14" t="s">
        <v>1369</v>
      </c>
      <c r="M372" s="14" t="s">
        <v>1515</v>
      </c>
      <c r="N372" s="14">
        <v>132.97</v>
      </c>
      <c r="O372" s="14">
        <v>2</v>
      </c>
      <c r="P372" s="14" t="s">
        <v>1548</v>
      </c>
      <c r="Q372" s="14" t="str">
        <f>_xlfn.IFS(Augmented_Data!$P372="FLAT8","8%",Augmented_Data!$P372="FLAT10","10%",Augmented_Data!$P372="FLAT15","15%",Augmented_Data!$P372="FLAT20","20%",Augmented_Data!$P372="DEL0","0 delivery charge")</f>
        <v>15%</v>
      </c>
      <c r="R372" s="14">
        <v>4</v>
      </c>
      <c r="S372" s="14" t="str">
        <f>_xlfn.IFS(Augmented_Data!U372-Augmented_Data!K372=Augmented_Data!$R372,"Intime",Augmented_Data!U372-Augmented_Data!K372&lt;Augmented_Data!R372,"Before Time",Augmented_Data!U372-Augmented_Data!K372&gt;Augmented_Data!R372,"Late")</f>
        <v>Before Time</v>
      </c>
      <c r="T372" s="14">
        <v>40</v>
      </c>
      <c r="U372" s="15">
        <v>45487</v>
      </c>
      <c r="V372" s="14">
        <f>DATEDIF(Augmented_Data!$K372,Augmented_Data!$U372,"D")</f>
        <v>2</v>
      </c>
      <c r="W372" s="14" t="s">
        <v>1920</v>
      </c>
      <c r="X372" s="14">
        <f>Augmented_Data!$Z372-Augmented_Data!$AA372</f>
        <v>45.89100000000002</v>
      </c>
      <c r="Y372" s="14">
        <f>Augmented_Data!$N372*Augmented_Data!$O372</f>
        <v>265.94</v>
      </c>
      <c r="Z372" s="14">
        <f>Augmented_Data!$Y372+Augmented_Data!$T372</f>
        <v>305.94</v>
      </c>
      <c r="AA372" s="16">
        <f>IF(Augmented_Data!Q372="0 delivery charge",Augmented_Data!Z372-Augmented_Data!T372,Augmented_Data!Z372*(1-Augmented_Data!Q372))</f>
        <v>260.04899999999998</v>
      </c>
    </row>
    <row r="373" spans="1:27" x14ac:dyDescent="0.3">
      <c r="A373" s="11" t="s">
        <v>73</v>
      </c>
      <c r="B373" s="11" t="str">
        <f>_xlfn.CONCAT(Augmented_Data!$C373," ",Augmented_Data!$D373)</f>
        <v>Brandon Cruz</v>
      </c>
      <c r="C373" s="11" t="s">
        <v>166</v>
      </c>
      <c r="D373" s="11" t="s">
        <v>251</v>
      </c>
      <c r="E373" s="11">
        <v>32</v>
      </c>
      <c r="F373" s="11" t="s">
        <v>290</v>
      </c>
      <c r="G373" s="11" t="s">
        <v>296</v>
      </c>
      <c r="H373" s="11" t="s">
        <v>354</v>
      </c>
      <c r="I373" s="11" t="s">
        <v>454</v>
      </c>
      <c r="J373" s="11" t="s">
        <v>870</v>
      </c>
      <c r="K373" s="12">
        <v>45006</v>
      </c>
      <c r="L373" s="11" t="s">
        <v>1370</v>
      </c>
      <c r="M373" s="11" t="s">
        <v>1532</v>
      </c>
      <c r="N373" s="11">
        <v>87.09</v>
      </c>
      <c r="O373" s="11">
        <v>2</v>
      </c>
      <c r="P373" s="11" t="s">
        <v>1547</v>
      </c>
      <c r="Q373" s="11" t="str">
        <f>_xlfn.IFS(Augmented_Data!$P373="FLAT8","8%",Augmented_Data!$P373="FLAT10","10%",Augmented_Data!$P373="FLAT15","15%",Augmented_Data!$P373="FLAT20","20%",Augmented_Data!$P373="DEL0","0 delivery charge")</f>
        <v>0 delivery charge</v>
      </c>
      <c r="R373" s="11">
        <v>4</v>
      </c>
      <c r="S373" s="11" t="str">
        <f>_xlfn.IFS(Augmented_Data!U373-Augmented_Data!K373=Augmented_Data!$R373,"Intime",Augmented_Data!U373-Augmented_Data!K373&lt;Augmented_Data!R373,"Before Time",Augmented_Data!U373-Augmented_Data!K373&gt;Augmented_Data!R373,"Late")</f>
        <v>Intime</v>
      </c>
      <c r="T373" s="11">
        <v>67</v>
      </c>
      <c r="U373" s="12">
        <v>45010</v>
      </c>
      <c r="V373" s="11">
        <f>DATEDIF(Augmented_Data!$K373,Augmented_Data!$U373,"D")</f>
        <v>4</v>
      </c>
      <c r="W373" s="11" t="s">
        <v>1921</v>
      </c>
      <c r="X373" s="11">
        <f>Augmented_Data!$Z373-Augmented_Data!$AA373</f>
        <v>67</v>
      </c>
      <c r="Y373" s="11">
        <f>Augmented_Data!$N373*Augmented_Data!$O373</f>
        <v>174.18</v>
      </c>
      <c r="Z373" s="11">
        <f>Augmented_Data!$Y373+Augmented_Data!$T373</f>
        <v>241.18</v>
      </c>
      <c r="AA373" s="13">
        <f>IF(Augmented_Data!Q373="0 delivery charge",Augmented_Data!Z373-Augmented_Data!T373,Augmented_Data!Z373*(1-Augmented_Data!Q373))</f>
        <v>174.18</v>
      </c>
    </row>
    <row r="374" spans="1:27" x14ac:dyDescent="0.3">
      <c r="A374" s="14" t="s">
        <v>52</v>
      </c>
      <c r="B374" s="14" t="str">
        <f>_xlfn.CONCAT(Augmented_Data!$C374," ",Augmented_Data!$D374)</f>
        <v>Julie Meyer</v>
      </c>
      <c r="C374" s="14" t="s">
        <v>150</v>
      </c>
      <c r="D374" s="14" t="s">
        <v>233</v>
      </c>
      <c r="E374" s="14">
        <v>23</v>
      </c>
      <c r="F374" s="14" t="s">
        <v>288</v>
      </c>
      <c r="G374" s="14" t="s">
        <v>291</v>
      </c>
      <c r="H374" s="14" t="s">
        <v>333</v>
      </c>
      <c r="I374" s="14" t="s">
        <v>433</v>
      </c>
      <c r="J374" s="14" t="s">
        <v>871</v>
      </c>
      <c r="K374" s="15">
        <v>45622</v>
      </c>
      <c r="L374" s="14" t="s">
        <v>1371</v>
      </c>
      <c r="M374" s="14" t="s">
        <v>1544</v>
      </c>
      <c r="N374" s="14">
        <v>107.47</v>
      </c>
      <c r="O374" s="14">
        <v>5</v>
      </c>
      <c r="P374" s="14" t="s">
        <v>2047</v>
      </c>
      <c r="Q374" s="14" t="str">
        <f>_xlfn.IFS(Augmented_Data!$P374="FLAT8","8%",Augmented_Data!$P374="FLAT10","10%",Augmented_Data!$P374="FLAT15","15%",Augmented_Data!$P374="FLAT20","20%",Augmented_Data!$P374="DEL0","0 delivery charge")</f>
        <v>8%</v>
      </c>
      <c r="R374" s="14">
        <v>4</v>
      </c>
      <c r="S374" s="14" t="str">
        <f>_xlfn.IFS(Augmented_Data!U374-Augmented_Data!K374=Augmented_Data!$R374,"Intime",Augmented_Data!U374-Augmented_Data!K374&lt;Augmented_Data!R374,"Before Time",Augmented_Data!U374-Augmented_Data!K374&gt;Augmented_Data!R374,"Late")</f>
        <v>Late</v>
      </c>
      <c r="T374" s="14">
        <v>37</v>
      </c>
      <c r="U374" s="15">
        <v>45628</v>
      </c>
      <c r="V374" s="14">
        <f>DATEDIF(Augmented_Data!$K374,Augmented_Data!$U374,"D")</f>
        <v>6</v>
      </c>
      <c r="W374" s="14" t="s">
        <v>1922</v>
      </c>
      <c r="X374" s="14">
        <f>Augmented_Data!$Z374-Augmented_Data!$AA374</f>
        <v>45.947999999999979</v>
      </c>
      <c r="Y374" s="14">
        <f>Augmented_Data!$N374*Augmented_Data!$O374</f>
        <v>537.35</v>
      </c>
      <c r="Z374" s="14">
        <f>Augmented_Data!$Y374+Augmented_Data!$T374</f>
        <v>574.35</v>
      </c>
      <c r="AA374" s="16">
        <f>IF(Augmented_Data!Q374="0 delivery charge",Augmented_Data!Z374-Augmented_Data!T374,Augmented_Data!Z374*(1-Augmented_Data!Q374))</f>
        <v>528.40200000000004</v>
      </c>
    </row>
    <row r="375" spans="1:27" x14ac:dyDescent="0.3">
      <c r="A375" s="11" t="s">
        <v>89</v>
      </c>
      <c r="B375" s="11" t="str">
        <f>_xlfn.CONCAT(Augmented_Data!$C375," ",Augmented_Data!$D375)</f>
        <v>Melissa Levy</v>
      </c>
      <c r="C375" s="11" t="s">
        <v>179</v>
      </c>
      <c r="D375" s="11" t="s">
        <v>265</v>
      </c>
      <c r="E375" s="11">
        <v>30</v>
      </c>
      <c r="F375" s="11" t="s">
        <v>288</v>
      </c>
      <c r="G375" s="11" t="s">
        <v>293</v>
      </c>
      <c r="H375" s="11" t="s">
        <v>370</v>
      </c>
      <c r="I375" s="11" t="s">
        <v>470</v>
      </c>
      <c r="J375" s="11" t="s">
        <v>872</v>
      </c>
      <c r="K375" s="12">
        <v>45417</v>
      </c>
      <c r="L375" s="11" t="s">
        <v>1372</v>
      </c>
      <c r="M375" s="11" t="s">
        <v>1544</v>
      </c>
      <c r="N375" s="11">
        <v>107.47</v>
      </c>
      <c r="O375" s="11">
        <v>5</v>
      </c>
      <c r="P375" s="11" t="s">
        <v>1549</v>
      </c>
      <c r="Q375" s="11" t="str">
        <f>_xlfn.IFS(Augmented_Data!$P375="FLAT8","8%",Augmented_Data!$P375="FLAT10","10%",Augmented_Data!$P375="FLAT15","15%",Augmented_Data!$P375="FLAT20","20%",Augmented_Data!$P375="DEL0","0 delivery charge")</f>
        <v>10%</v>
      </c>
      <c r="R375" s="11">
        <v>4</v>
      </c>
      <c r="S375" s="11" t="str">
        <f>_xlfn.IFS(Augmented_Data!U375-Augmented_Data!K375=Augmented_Data!$R375,"Intime",Augmented_Data!U375-Augmented_Data!K375&lt;Augmented_Data!R375,"Before Time",Augmented_Data!U375-Augmented_Data!K375&gt;Augmented_Data!R375,"Late")</f>
        <v>Late</v>
      </c>
      <c r="T375" s="11">
        <v>47</v>
      </c>
      <c r="U375" s="12">
        <v>45424</v>
      </c>
      <c r="V375" s="11">
        <f>DATEDIF(Augmented_Data!$K375,Augmented_Data!$U375,"D")</f>
        <v>7</v>
      </c>
      <c r="W375" s="11" t="s">
        <v>1923</v>
      </c>
      <c r="X375" s="11">
        <f>Augmented_Data!$Z375-Augmented_Data!$AA375</f>
        <v>58.434999999999945</v>
      </c>
      <c r="Y375" s="11">
        <f>Augmented_Data!$N375*Augmented_Data!$O375</f>
        <v>537.35</v>
      </c>
      <c r="Z375" s="11">
        <f>Augmented_Data!$Y375+Augmented_Data!$T375</f>
        <v>584.35</v>
      </c>
      <c r="AA375" s="13">
        <f>IF(Augmented_Data!Q375="0 delivery charge",Augmented_Data!Z375-Augmented_Data!T375,Augmented_Data!Z375*(1-Augmented_Data!Q375))</f>
        <v>525.91500000000008</v>
      </c>
    </row>
    <row r="376" spans="1:27" x14ac:dyDescent="0.3">
      <c r="A376" s="14" t="s">
        <v>81</v>
      </c>
      <c r="B376" s="14" t="str">
        <f>_xlfn.CONCAT(Augmented_Data!$C376," ",Augmented_Data!$D376)</f>
        <v>Beth Mason</v>
      </c>
      <c r="C376" s="14" t="s">
        <v>171</v>
      </c>
      <c r="D376" s="14" t="s">
        <v>258</v>
      </c>
      <c r="E376" s="14">
        <v>45</v>
      </c>
      <c r="F376" s="14" t="s">
        <v>290</v>
      </c>
      <c r="G376" s="14" t="s">
        <v>296</v>
      </c>
      <c r="H376" s="14" t="s">
        <v>362</v>
      </c>
      <c r="I376" s="14" t="s">
        <v>462</v>
      </c>
      <c r="J376" s="14" t="s">
        <v>873</v>
      </c>
      <c r="K376" s="15">
        <v>45446</v>
      </c>
      <c r="L376" s="14" t="s">
        <v>1373</v>
      </c>
      <c r="M376" s="14" t="s">
        <v>1541</v>
      </c>
      <c r="N376" s="14">
        <v>133.62</v>
      </c>
      <c r="O376" s="14">
        <v>1</v>
      </c>
      <c r="P376" s="14" t="s">
        <v>1548</v>
      </c>
      <c r="Q376" s="14" t="str">
        <f>_xlfn.IFS(Augmented_Data!$P376="FLAT8","8%",Augmented_Data!$P376="FLAT10","10%",Augmented_Data!$P376="FLAT15","15%",Augmented_Data!$P376="FLAT20","20%",Augmented_Data!$P376="DEL0","0 delivery charge")</f>
        <v>15%</v>
      </c>
      <c r="R376" s="14">
        <v>5</v>
      </c>
      <c r="S376" s="14" t="str">
        <f>_xlfn.IFS(Augmented_Data!U376-Augmented_Data!K376=Augmented_Data!$R376,"Intime",Augmented_Data!U376-Augmented_Data!K376&lt;Augmented_Data!R376,"Before Time",Augmented_Data!U376-Augmented_Data!K376&gt;Augmented_Data!R376,"Late")</f>
        <v>Intime</v>
      </c>
      <c r="T376" s="14">
        <v>39</v>
      </c>
      <c r="U376" s="15">
        <v>45451</v>
      </c>
      <c r="V376" s="14">
        <f>DATEDIF(Augmented_Data!$K376,Augmented_Data!$U376,"D")</f>
        <v>5</v>
      </c>
      <c r="W376" s="14" t="s">
        <v>1924</v>
      </c>
      <c r="X376" s="14">
        <f>Augmented_Data!$Z376-Augmented_Data!$AA376</f>
        <v>25.893000000000001</v>
      </c>
      <c r="Y376" s="14">
        <f>Augmented_Data!$N376*Augmented_Data!$O376</f>
        <v>133.62</v>
      </c>
      <c r="Z376" s="14">
        <f>Augmented_Data!$Y376+Augmented_Data!$T376</f>
        <v>172.62</v>
      </c>
      <c r="AA376" s="16">
        <f>IF(Augmented_Data!Q376="0 delivery charge",Augmented_Data!Z376-Augmented_Data!T376,Augmented_Data!Z376*(1-Augmented_Data!Q376))</f>
        <v>146.727</v>
      </c>
    </row>
    <row r="377" spans="1:27" x14ac:dyDescent="0.3">
      <c r="A377" s="11" t="s">
        <v>61</v>
      </c>
      <c r="B377" s="11" t="str">
        <f>_xlfn.CONCAT(Augmented_Data!$C377," ",Augmented_Data!$D377)</f>
        <v>Mary Knight</v>
      </c>
      <c r="C377" s="11" t="s">
        <v>158</v>
      </c>
      <c r="D377" s="11" t="s">
        <v>242</v>
      </c>
      <c r="E377" s="11">
        <v>28</v>
      </c>
      <c r="F377" s="11" t="s">
        <v>290</v>
      </c>
      <c r="G377" s="11" t="s">
        <v>295</v>
      </c>
      <c r="H377" s="11" t="s">
        <v>342</v>
      </c>
      <c r="I377" s="11" t="s">
        <v>442</v>
      </c>
      <c r="J377" s="11" t="s">
        <v>874</v>
      </c>
      <c r="K377" s="12">
        <v>45247</v>
      </c>
      <c r="L377" s="11" t="s">
        <v>1374</v>
      </c>
      <c r="M377" s="11" t="s">
        <v>1504</v>
      </c>
      <c r="N377" s="11">
        <v>275.44</v>
      </c>
      <c r="O377" s="11">
        <v>2</v>
      </c>
      <c r="P377" s="11" t="s">
        <v>1550</v>
      </c>
      <c r="Q377" s="11" t="str">
        <f>_xlfn.IFS(Augmented_Data!$P377="FLAT8","8%",Augmented_Data!$P377="FLAT10","10%",Augmented_Data!$P377="FLAT15","15%",Augmented_Data!$P377="FLAT20","20%",Augmented_Data!$P377="DEL0","0 delivery charge")</f>
        <v>20%</v>
      </c>
      <c r="R377" s="11">
        <v>3</v>
      </c>
      <c r="S377" s="11" t="str">
        <f>_xlfn.IFS(Augmented_Data!U377-Augmented_Data!K377=Augmented_Data!$R377,"Intime",Augmented_Data!U377-Augmented_Data!K377&lt;Augmented_Data!R377,"Before Time",Augmented_Data!U377-Augmented_Data!K377&gt;Augmented_Data!R377,"Late")</f>
        <v>Late</v>
      </c>
      <c r="T377" s="11">
        <v>43</v>
      </c>
      <c r="U377" s="12">
        <v>45251</v>
      </c>
      <c r="V377" s="11">
        <f>DATEDIF(Augmented_Data!$K377,Augmented_Data!$U377,"D")</f>
        <v>4</v>
      </c>
      <c r="W377" s="11" t="s">
        <v>1925</v>
      </c>
      <c r="X377" s="11">
        <f>Augmented_Data!$Z377-Augmented_Data!$AA377</f>
        <v>118.77599999999995</v>
      </c>
      <c r="Y377" s="11">
        <f>Augmented_Data!$N377*Augmented_Data!$O377</f>
        <v>550.88</v>
      </c>
      <c r="Z377" s="11">
        <f>Augmented_Data!$Y377+Augmented_Data!$T377</f>
        <v>593.88</v>
      </c>
      <c r="AA377" s="13">
        <f>IF(Augmented_Data!Q377="0 delivery charge",Augmented_Data!Z377-Augmented_Data!T377,Augmented_Data!Z377*(1-Augmented_Data!Q377))</f>
        <v>475.10400000000004</v>
      </c>
    </row>
    <row r="378" spans="1:27" x14ac:dyDescent="0.3">
      <c r="A378" s="14" t="s">
        <v>47</v>
      </c>
      <c r="B378" s="14" t="str">
        <f>_xlfn.CONCAT(Augmented_Data!$C378," ",Augmented_Data!$D378)</f>
        <v>Rachael Robinson</v>
      </c>
      <c r="C378" s="14" t="s">
        <v>145</v>
      </c>
      <c r="D378" s="14" t="s">
        <v>228</v>
      </c>
      <c r="E378" s="14">
        <v>24</v>
      </c>
      <c r="F378" s="14" t="s">
        <v>290</v>
      </c>
      <c r="G378" s="14" t="s">
        <v>298</v>
      </c>
      <c r="H378" s="14" t="s">
        <v>328</v>
      </c>
      <c r="I378" s="14" t="s">
        <v>428</v>
      </c>
      <c r="J378" s="14" t="s">
        <v>905</v>
      </c>
      <c r="K378" s="15">
        <v>45113</v>
      </c>
      <c r="L378" s="14" t="s">
        <v>1405</v>
      </c>
      <c r="M378" s="14" t="s">
        <v>1501</v>
      </c>
      <c r="N378" s="14">
        <v>330.11</v>
      </c>
      <c r="O378" s="14">
        <v>3</v>
      </c>
      <c r="P378" s="14" t="s">
        <v>1548</v>
      </c>
      <c r="Q378" s="14" t="str">
        <f>_xlfn.IFS(Augmented_Data!$P378="FLAT8","8%",Augmented_Data!$P378="FLAT10","10%",Augmented_Data!$P378="FLAT15","15%",Augmented_Data!$P378="FLAT20","20%",Augmented_Data!$P378="DEL0","0 delivery charge")</f>
        <v>15%</v>
      </c>
      <c r="R378" s="14">
        <v>2</v>
      </c>
      <c r="S378" s="14" t="str">
        <f>_xlfn.IFS(Augmented_Data!U378-Augmented_Data!K378=Augmented_Data!$R378,"Intime",Augmented_Data!U378-Augmented_Data!K378&lt;Augmented_Data!R378,"Before Time",Augmented_Data!U378-Augmented_Data!K378&gt;Augmented_Data!R378,"Late")</f>
        <v>Late</v>
      </c>
      <c r="T378" s="14">
        <v>56</v>
      </c>
      <c r="U378" s="15">
        <v>45117</v>
      </c>
      <c r="V378" s="14">
        <f>DATEDIF(Augmented_Data!$K378,Augmented_Data!$U378,"D")</f>
        <v>4</v>
      </c>
      <c r="W378" s="14" t="s">
        <v>1954</v>
      </c>
      <c r="X378" s="14">
        <f>Augmented_Data!$Z378-Augmented_Data!$AA378</f>
        <v>156.94950000000006</v>
      </c>
      <c r="Y378" s="14">
        <f>Augmented_Data!$N378*Augmented_Data!$O378</f>
        <v>990.33</v>
      </c>
      <c r="Z378" s="14">
        <f>Augmented_Data!$Y378+Augmented_Data!$T378</f>
        <v>1046.33</v>
      </c>
      <c r="AA378" s="16">
        <f>IF(Augmented_Data!Q378="0 delivery charge",Augmented_Data!Z378-Augmented_Data!T378,Augmented_Data!Z378*(1-Augmented_Data!Q378))</f>
        <v>889.38049999999987</v>
      </c>
    </row>
    <row r="379" spans="1:27" x14ac:dyDescent="0.3">
      <c r="A379" s="11" t="s">
        <v>61</v>
      </c>
      <c r="B379" s="11" t="str">
        <f>_xlfn.CONCAT(Augmented_Data!$C379," ",Augmented_Data!$D379)</f>
        <v>Mary Knight</v>
      </c>
      <c r="C379" s="11" t="s">
        <v>158</v>
      </c>
      <c r="D379" s="11" t="s">
        <v>242</v>
      </c>
      <c r="E379" s="11">
        <v>28</v>
      </c>
      <c r="F379" s="11" t="s">
        <v>290</v>
      </c>
      <c r="G379" s="11" t="s">
        <v>295</v>
      </c>
      <c r="H379" s="11" t="s">
        <v>342</v>
      </c>
      <c r="I379" s="11" t="s">
        <v>442</v>
      </c>
      <c r="J379" s="11" t="s">
        <v>876</v>
      </c>
      <c r="K379" s="12">
        <v>45307</v>
      </c>
      <c r="L379" s="11" t="s">
        <v>1376</v>
      </c>
      <c r="M379" s="11" t="s">
        <v>1511</v>
      </c>
      <c r="N379" s="11">
        <v>272.51</v>
      </c>
      <c r="O379" s="11">
        <v>3</v>
      </c>
      <c r="P379" s="11" t="s">
        <v>2047</v>
      </c>
      <c r="Q379" s="11" t="str">
        <f>_xlfn.IFS(Augmented_Data!$P379="FLAT8","8%",Augmented_Data!$P379="FLAT10","10%",Augmented_Data!$P379="FLAT15","15%",Augmented_Data!$P379="FLAT20","20%",Augmented_Data!$P379="DEL0","0 delivery charge")</f>
        <v>8%</v>
      </c>
      <c r="R379" s="11">
        <v>6</v>
      </c>
      <c r="S379" s="11" t="str">
        <f>_xlfn.IFS(Augmented_Data!U379-Augmented_Data!K379=Augmented_Data!$R379,"Intime",Augmented_Data!U379-Augmented_Data!K379&lt;Augmented_Data!R379,"Before Time",Augmented_Data!U379-Augmented_Data!K379&gt;Augmented_Data!R379,"Late")</f>
        <v>Before Time</v>
      </c>
      <c r="T379" s="11">
        <v>44</v>
      </c>
      <c r="U379" s="12">
        <v>45310</v>
      </c>
      <c r="V379" s="11">
        <f>DATEDIF(Augmented_Data!$K379,Augmented_Data!$U379,"D")</f>
        <v>3</v>
      </c>
      <c r="W379" s="11" t="s">
        <v>1927</v>
      </c>
      <c r="X379" s="11">
        <f>Augmented_Data!$Z379-Augmented_Data!$AA379</f>
        <v>68.922399999999925</v>
      </c>
      <c r="Y379" s="11">
        <f>Augmented_Data!$N379*Augmented_Data!$O379</f>
        <v>817.53</v>
      </c>
      <c r="Z379" s="11">
        <f>Augmented_Data!$Y379+Augmented_Data!$T379</f>
        <v>861.53</v>
      </c>
      <c r="AA379" s="13">
        <f>IF(Augmented_Data!Q379="0 delivery charge",Augmented_Data!Z379-Augmented_Data!T379,Augmented_Data!Z379*(1-Augmented_Data!Q379))</f>
        <v>792.60760000000005</v>
      </c>
    </row>
    <row r="380" spans="1:27" x14ac:dyDescent="0.3">
      <c r="A380" s="14" t="s">
        <v>86</v>
      </c>
      <c r="B380" s="14" t="str">
        <f>_xlfn.CONCAT(Augmented_Data!$C380," ",Augmented_Data!$D380)</f>
        <v>Gregory Lee</v>
      </c>
      <c r="C380" s="14" t="s">
        <v>176</v>
      </c>
      <c r="D380" s="14" t="s">
        <v>263</v>
      </c>
      <c r="E380" s="14">
        <v>26</v>
      </c>
      <c r="F380" s="14" t="s">
        <v>290</v>
      </c>
      <c r="G380" s="14" t="s">
        <v>295</v>
      </c>
      <c r="H380" s="14" t="s">
        <v>367</v>
      </c>
      <c r="I380" s="14" t="s">
        <v>467</v>
      </c>
      <c r="J380" s="14" t="s">
        <v>877</v>
      </c>
      <c r="K380" s="15">
        <v>45238</v>
      </c>
      <c r="L380" s="14" t="s">
        <v>1377</v>
      </c>
      <c r="M380" s="14" t="s">
        <v>1508</v>
      </c>
      <c r="N380" s="14">
        <v>175.93</v>
      </c>
      <c r="O380" s="14">
        <v>4</v>
      </c>
      <c r="P380" s="14" t="s">
        <v>1550</v>
      </c>
      <c r="Q380" s="14" t="str">
        <f>_xlfn.IFS(Augmented_Data!$P380="FLAT8","8%",Augmented_Data!$P380="FLAT10","10%",Augmented_Data!$P380="FLAT15","15%",Augmented_Data!$P380="FLAT20","20%",Augmented_Data!$P380="DEL0","0 delivery charge")</f>
        <v>20%</v>
      </c>
      <c r="R380" s="14">
        <v>6</v>
      </c>
      <c r="S380" s="14" t="str">
        <f>_xlfn.IFS(Augmented_Data!U380-Augmented_Data!K380=Augmented_Data!$R380,"Intime",Augmented_Data!U380-Augmented_Data!K380&lt;Augmented_Data!R380,"Before Time",Augmented_Data!U380-Augmented_Data!K380&gt;Augmented_Data!R380,"Late")</f>
        <v>Before Time</v>
      </c>
      <c r="T380" s="14">
        <v>54</v>
      </c>
      <c r="U380" s="15">
        <v>45240</v>
      </c>
      <c r="V380" s="14">
        <f>DATEDIF(Augmented_Data!$K380,Augmented_Data!$U380,"D")</f>
        <v>2</v>
      </c>
      <c r="W380" s="14" t="s">
        <v>1928</v>
      </c>
      <c r="X380" s="14">
        <f>Augmented_Data!$Z380-Augmented_Data!$AA380</f>
        <v>151.54399999999998</v>
      </c>
      <c r="Y380" s="14">
        <f>Augmented_Data!$N380*Augmented_Data!$O380</f>
        <v>703.72</v>
      </c>
      <c r="Z380" s="14">
        <f>Augmented_Data!$Y380+Augmented_Data!$T380</f>
        <v>757.72</v>
      </c>
      <c r="AA380" s="16">
        <f>IF(Augmented_Data!Q380="0 delivery charge",Augmented_Data!Z380-Augmented_Data!T380,Augmented_Data!Z380*(1-Augmented_Data!Q380))</f>
        <v>606.17600000000004</v>
      </c>
    </row>
    <row r="381" spans="1:27" x14ac:dyDescent="0.3">
      <c r="A381" s="11" t="s">
        <v>63</v>
      </c>
      <c r="B381" s="11" t="str">
        <f>_xlfn.CONCAT(Augmented_Data!$C381," ",Augmented_Data!$D381)</f>
        <v>Lauren Crane</v>
      </c>
      <c r="C381" s="11" t="s">
        <v>144</v>
      </c>
      <c r="D381" s="11" t="s">
        <v>244</v>
      </c>
      <c r="E381" s="11">
        <v>62</v>
      </c>
      <c r="F381" s="11" t="s">
        <v>289</v>
      </c>
      <c r="G381" s="11" t="s">
        <v>292</v>
      </c>
      <c r="H381" s="11" t="s">
        <v>344</v>
      </c>
      <c r="I381" s="11" t="s">
        <v>444</v>
      </c>
      <c r="J381" s="11" t="s">
        <v>618</v>
      </c>
      <c r="K381" s="12">
        <v>45459</v>
      </c>
      <c r="L381" s="11" t="s">
        <v>1118</v>
      </c>
      <c r="M381" s="11" t="s">
        <v>1530</v>
      </c>
      <c r="N381" s="11">
        <v>369.03</v>
      </c>
      <c r="O381" s="11">
        <v>3</v>
      </c>
      <c r="P381" s="11" t="s">
        <v>2047</v>
      </c>
      <c r="Q381" s="11" t="str">
        <f>_xlfn.IFS(Augmented_Data!$P381="FLAT8","8%",Augmented_Data!$P381="FLAT10","10%",Augmented_Data!$P381="FLAT15","15%",Augmented_Data!$P381="FLAT20","20%",Augmented_Data!$P381="DEL0","0 delivery charge")</f>
        <v>8%</v>
      </c>
      <c r="R381" s="11">
        <v>6</v>
      </c>
      <c r="S381" s="11" t="str">
        <f>_xlfn.IFS(Augmented_Data!U381-Augmented_Data!K381=Augmented_Data!$R381,"Intime",Augmented_Data!U381-Augmented_Data!K381&lt;Augmented_Data!R381,"Before Time",Augmented_Data!U381-Augmented_Data!K381&gt;Augmented_Data!R381,"Late")</f>
        <v>Before Time</v>
      </c>
      <c r="T381" s="11">
        <v>57</v>
      </c>
      <c r="U381" s="12">
        <v>45461</v>
      </c>
      <c r="V381" s="11">
        <f>DATEDIF(Augmented_Data!$K381,Augmented_Data!$U381,"D")</f>
        <v>2</v>
      </c>
      <c r="W381" s="11" t="s">
        <v>1670</v>
      </c>
      <c r="X381" s="11">
        <f>Augmented_Data!$Z381-Augmented_Data!$AA381</f>
        <v>93.127199999999903</v>
      </c>
      <c r="Y381" s="11">
        <f>Augmented_Data!$N381*Augmented_Data!$O381</f>
        <v>1107.0899999999999</v>
      </c>
      <c r="Z381" s="11">
        <f>Augmented_Data!$Y381+Augmented_Data!$T381</f>
        <v>1164.0899999999999</v>
      </c>
      <c r="AA381" s="13">
        <f>IF(Augmented_Data!Q381="0 delivery charge",Augmented_Data!Z381-Augmented_Data!T381,Augmented_Data!Z381*(1-Augmented_Data!Q381))</f>
        <v>1070.9628</v>
      </c>
    </row>
    <row r="382" spans="1:27" x14ac:dyDescent="0.3">
      <c r="A382" s="14" t="s">
        <v>112</v>
      </c>
      <c r="B382" s="14" t="str">
        <f>_xlfn.CONCAT(Augmented_Data!$C382," ",Augmented_Data!$D382)</f>
        <v>Sarah Benson</v>
      </c>
      <c r="C382" s="14" t="s">
        <v>164</v>
      </c>
      <c r="D382" s="14" t="s">
        <v>284</v>
      </c>
      <c r="E382" s="14">
        <v>40</v>
      </c>
      <c r="F382" s="14" t="s">
        <v>290</v>
      </c>
      <c r="G382" s="14" t="s">
        <v>298</v>
      </c>
      <c r="H382" s="14" t="s">
        <v>393</v>
      </c>
      <c r="I382" s="14" t="s">
        <v>493</v>
      </c>
      <c r="J382" s="14" t="s">
        <v>879</v>
      </c>
      <c r="K382" s="15">
        <v>45040</v>
      </c>
      <c r="L382" s="14" t="s">
        <v>1379</v>
      </c>
      <c r="M382" s="14" t="s">
        <v>1506</v>
      </c>
      <c r="N382" s="14">
        <v>372.62</v>
      </c>
      <c r="O382" s="14">
        <v>2</v>
      </c>
      <c r="P382" s="14" t="s">
        <v>1550</v>
      </c>
      <c r="Q382" s="14" t="str">
        <f>_xlfn.IFS(Augmented_Data!$P382="FLAT8","8%",Augmented_Data!$P382="FLAT10","10%",Augmented_Data!$P382="FLAT15","15%",Augmented_Data!$P382="FLAT20","20%",Augmented_Data!$P382="DEL0","0 delivery charge")</f>
        <v>20%</v>
      </c>
      <c r="R382" s="14">
        <v>2</v>
      </c>
      <c r="S382" s="14" t="str">
        <f>_xlfn.IFS(Augmented_Data!U382-Augmented_Data!K382=Augmented_Data!$R382,"Intime",Augmented_Data!U382-Augmented_Data!K382&lt;Augmented_Data!R382,"Before Time",Augmented_Data!U382-Augmented_Data!K382&gt;Augmented_Data!R382,"Late")</f>
        <v>Before Time</v>
      </c>
      <c r="T382" s="14">
        <v>47</v>
      </c>
      <c r="U382" s="15">
        <v>45041</v>
      </c>
      <c r="V382" s="14">
        <f>DATEDIF(Augmented_Data!$K382,Augmented_Data!$U382,"D")</f>
        <v>1</v>
      </c>
      <c r="W382" s="14" t="s">
        <v>1930</v>
      </c>
      <c r="X382" s="14">
        <f>Augmented_Data!$Z382-Augmented_Data!$AA382</f>
        <v>158.44799999999998</v>
      </c>
      <c r="Y382" s="14">
        <f>Augmented_Data!$N382*Augmented_Data!$O382</f>
        <v>745.24</v>
      </c>
      <c r="Z382" s="14">
        <f>Augmented_Data!$Y382+Augmented_Data!$T382</f>
        <v>792.24</v>
      </c>
      <c r="AA382" s="16">
        <f>IF(Augmented_Data!Q382="0 delivery charge",Augmented_Data!Z382-Augmented_Data!T382,Augmented_Data!Z382*(1-Augmented_Data!Q382))</f>
        <v>633.79200000000003</v>
      </c>
    </row>
    <row r="383" spans="1:27" x14ac:dyDescent="0.3">
      <c r="A383" s="11" t="s">
        <v>53</v>
      </c>
      <c r="B383" s="11" t="str">
        <f>_xlfn.CONCAT(Augmented_Data!$C383," ",Augmented_Data!$D383)</f>
        <v>Donna Oneill</v>
      </c>
      <c r="C383" s="11" t="s">
        <v>151</v>
      </c>
      <c r="D383" s="11" t="s">
        <v>234</v>
      </c>
      <c r="E383" s="11">
        <v>70</v>
      </c>
      <c r="F383" s="11" t="s">
        <v>288</v>
      </c>
      <c r="G383" s="11" t="s">
        <v>297</v>
      </c>
      <c r="H383" s="11" t="s">
        <v>334</v>
      </c>
      <c r="I383" s="11" t="s">
        <v>434</v>
      </c>
      <c r="J383" s="11" t="s">
        <v>880</v>
      </c>
      <c r="K383" s="12">
        <v>45270</v>
      </c>
      <c r="L383" s="11" t="s">
        <v>1380</v>
      </c>
      <c r="M383" s="11" t="s">
        <v>1500</v>
      </c>
      <c r="N383" s="11">
        <v>44.5</v>
      </c>
      <c r="O383" s="11">
        <v>1</v>
      </c>
      <c r="P383" s="11" t="s">
        <v>1547</v>
      </c>
      <c r="Q383" s="11" t="str">
        <f>_xlfn.IFS(Augmented_Data!$P383="FLAT8","8%",Augmented_Data!$P383="FLAT10","10%",Augmented_Data!$P383="FLAT15","15%",Augmented_Data!$P383="FLAT20","20%",Augmented_Data!$P383="DEL0","0 delivery charge")</f>
        <v>0 delivery charge</v>
      </c>
      <c r="R383" s="11">
        <v>1</v>
      </c>
      <c r="S383" s="11" t="str">
        <f>_xlfn.IFS(Augmented_Data!U383-Augmented_Data!K383=Augmented_Data!$R383,"Intime",Augmented_Data!U383-Augmented_Data!K383&lt;Augmented_Data!R383,"Before Time",Augmented_Data!U383-Augmented_Data!K383&gt;Augmented_Data!R383,"Late")</f>
        <v>Late</v>
      </c>
      <c r="T383" s="11">
        <v>37</v>
      </c>
      <c r="U383" s="12">
        <v>45277</v>
      </c>
      <c r="V383" s="11">
        <f>DATEDIF(Augmented_Data!$K383,Augmented_Data!$U383,"D")</f>
        <v>7</v>
      </c>
      <c r="W383" s="11" t="s">
        <v>1931</v>
      </c>
      <c r="X383" s="11">
        <f>Augmented_Data!$Z383-Augmented_Data!$AA383</f>
        <v>37</v>
      </c>
      <c r="Y383" s="11">
        <f>Augmented_Data!$N383*Augmented_Data!$O383</f>
        <v>44.5</v>
      </c>
      <c r="Z383" s="11">
        <f>Augmented_Data!$Y383+Augmented_Data!$T383</f>
        <v>81.5</v>
      </c>
      <c r="AA383" s="13">
        <f>IF(Augmented_Data!Q383="0 delivery charge",Augmented_Data!Z383-Augmented_Data!T383,Augmented_Data!Z383*(1-Augmented_Data!Q383))</f>
        <v>44.5</v>
      </c>
    </row>
    <row r="384" spans="1:27" x14ac:dyDescent="0.3">
      <c r="A384" s="14" t="s">
        <v>66</v>
      </c>
      <c r="B384" s="14" t="str">
        <f>_xlfn.CONCAT(Augmented_Data!$C384," ",Augmented_Data!$D384)</f>
        <v>Debra Hayes</v>
      </c>
      <c r="C384" s="14" t="s">
        <v>127</v>
      </c>
      <c r="D384" s="14" t="s">
        <v>247</v>
      </c>
      <c r="E384" s="14">
        <v>33</v>
      </c>
      <c r="F384" s="14" t="s">
        <v>288</v>
      </c>
      <c r="G384" s="14" t="s">
        <v>297</v>
      </c>
      <c r="H384" s="14" t="s">
        <v>347</v>
      </c>
      <c r="I384" s="14" t="s">
        <v>447</v>
      </c>
      <c r="J384" s="14" t="s">
        <v>881</v>
      </c>
      <c r="K384" s="15">
        <v>45060</v>
      </c>
      <c r="L384" s="14" t="s">
        <v>1381</v>
      </c>
      <c r="M384" s="14" t="s">
        <v>1524</v>
      </c>
      <c r="N384" s="14">
        <v>157.63999999999999</v>
      </c>
      <c r="O384" s="14">
        <v>1</v>
      </c>
      <c r="P384" s="14" t="s">
        <v>1549</v>
      </c>
      <c r="Q384" s="14" t="str">
        <f>_xlfn.IFS(Augmented_Data!$P384="FLAT8","8%",Augmented_Data!$P384="FLAT10","10%",Augmented_Data!$P384="FLAT15","15%",Augmented_Data!$P384="FLAT20","20%",Augmented_Data!$P384="DEL0","0 delivery charge")</f>
        <v>10%</v>
      </c>
      <c r="R384" s="14">
        <v>7</v>
      </c>
      <c r="S384" s="14" t="str">
        <f>_xlfn.IFS(Augmented_Data!U384-Augmented_Data!K384=Augmented_Data!$R384,"Intime",Augmented_Data!U384-Augmented_Data!K384&lt;Augmented_Data!R384,"Before Time",Augmented_Data!U384-Augmented_Data!K384&gt;Augmented_Data!R384,"Late")</f>
        <v>Intime</v>
      </c>
      <c r="T384" s="14">
        <v>48</v>
      </c>
      <c r="U384" s="15">
        <v>45067</v>
      </c>
      <c r="V384" s="14">
        <f>DATEDIF(Augmented_Data!$K384,Augmented_Data!$U384,"D")</f>
        <v>7</v>
      </c>
      <c r="W384" s="14" t="s">
        <v>1932</v>
      </c>
      <c r="X384" s="14">
        <f>Augmented_Data!$Z384-Augmented_Data!$AA384</f>
        <v>20.563999999999993</v>
      </c>
      <c r="Y384" s="14">
        <f>Augmented_Data!$N384*Augmented_Data!$O384</f>
        <v>157.63999999999999</v>
      </c>
      <c r="Z384" s="14">
        <f>Augmented_Data!$Y384+Augmented_Data!$T384</f>
        <v>205.64</v>
      </c>
      <c r="AA384" s="16">
        <f>IF(Augmented_Data!Q384="0 delivery charge",Augmented_Data!Z384-Augmented_Data!T384,Augmented_Data!Z384*(1-Augmented_Data!Q384))</f>
        <v>185.07599999999999</v>
      </c>
    </row>
    <row r="385" spans="1:27" x14ac:dyDescent="0.3">
      <c r="A385" s="11" t="s">
        <v>36</v>
      </c>
      <c r="B385" s="11" t="str">
        <f>_xlfn.CONCAT(Augmented_Data!$C385," ",Augmented_Data!$D385)</f>
        <v>Traci Jones</v>
      </c>
      <c r="C385" s="11" t="s">
        <v>136</v>
      </c>
      <c r="D385" s="11" t="s">
        <v>217</v>
      </c>
      <c r="E385" s="11">
        <v>34</v>
      </c>
      <c r="F385" s="11" t="s">
        <v>288</v>
      </c>
      <c r="G385" s="11" t="s">
        <v>296</v>
      </c>
      <c r="H385" s="11" t="s">
        <v>317</v>
      </c>
      <c r="I385" s="11" t="s">
        <v>417</v>
      </c>
      <c r="J385" s="11" t="s">
        <v>882</v>
      </c>
      <c r="K385" s="12">
        <v>45243</v>
      </c>
      <c r="L385" s="11" t="s">
        <v>1382</v>
      </c>
      <c r="M385" s="11" t="s">
        <v>1513</v>
      </c>
      <c r="N385" s="11">
        <v>20.7</v>
      </c>
      <c r="O385" s="11">
        <v>3</v>
      </c>
      <c r="P385" s="11" t="s">
        <v>2047</v>
      </c>
      <c r="Q385" s="11" t="str">
        <f>_xlfn.IFS(Augmented_Data!$P385="FLAT8","8%",Augmented_Data!$P385="FLAT10","10%",Augmented_Data!$P385="FLAT15","15%",Augmented_Data!$P385="FLAT20","20%",Augmented_Data!$P385="DEL0","0 delivery charge")</f>
        <v>8%</v>
      </c>
      <c r="R385" s="11">
        <v>5</v>
      </c>
      <c r="S385" s="11" t="str">
        <f>_xlfn.IFS(Augmented_Data!U385-Augmented_Data!K385=Augmented_Data!$R385,"Intime",Augmented_Data!U385-Augmented_Data!K385&lt;Augmented_Data!R385,"Before Time",Augmented_Data!U385-Augmented_Data!K385&gt;Augmented_Data!R385,"Late")</f>
        <v>Before Time</v>
      </c>
      <c r="T385" s="11">
        <v>46</v>
      </c>
      <c r="U385" s="12">
        <v>45245</v>
      </c>
      <c r="V385" s="11">
        <f>DATEDIF(Augmented_Data!$K385,Augmented_Data!$U385,"D")</f>
        <v>2</v>
      </c>
      <c r="W385" s="11" t="s">
        <v>1933</v>
      </c>
      <c r="X385" s="11">
        <f>Augmented_Data!$Z385-Augmented_Data!$AA385</f>
        <v>8.6479999999999961</v>
      </c>
      <c r="Y385" s="11">
        <f>Augmented_Data!$N385*Augmented_Data!$O385</f>
        <v>62.099999999999994</v>
      </c>
      <c r="Z385" s="11">
        <f>Augmented_Data!$Y385+Augmented_Data!$T385</f>
        <v>108.1</v>
      </c>
      <c r="AA385" s="13">
        <f>IF(Augmented_Data!Q385="0 delivery charge",Augmented_Data!Z385-Augmented_Data!T385,Augmented_Data!Z385*(1-Augmented_Data!Q385))</f>
        <v>99.451999999999998</v>
      </c>
    </row>
    <row r="386" spans="1:27" x14ac:dyDescent="0.3">
      <c r="A386" s="14" t="s">
        <v>80</v>
      </c>
      <c r="B386" s="14" t="str">
        <f>_xlfn.CONCAT(Augmented_Data!$C386," ",Augmented_Data!$D386)</f>
        <v>Amy Ellis</v>
      </c>
      <c r="C386" s="14" t="s">
        <v>131</v>
      </c>
      <c r="D386" s="14" t="s">
        <v>257</v>
      </c>
      <c r="E386" s="14">
        <v>44</v>
      </c>
      <c r="F386" s="14" t="s">
        <v>290</v>
      </c>
      <c r="G386" s="14" t="s">
        <v>296</v>
      </c>
      <c r="H386" s="14" t="s">
        <v>361</v>
      </c>
      <c r="I386" s="14" t="s">
        <v>461</v>
      </c>
      <c r="J386" s="14" t="s">
        <v>883</v>
      </c>
      <c r="K386" s="15">
        <v>45264</v>
      </c>
      <c r="L386" s="14" t="s">
        <v>1383</v>
      </c>
      <c r="M386" s="14" t="s">
        <v>1529</v>
      </c>
      <c r="N386" s="14">
        <v>128.13999999999999</v>
      </c>
      <c r="O386" s="14">
        <v>3</v>
      </c>
      <c r="P386" s="14" t="s">
        <v>1550</v>
      </c>
      <c r="Q386" s="14" t="str">
        <f>_xlfn.IFS(Augmented_Data!$P386="FLAT8","8%",Augmented_Data!$P386="FLAT10","10%",Augmented_Data!$P386="FLAT15","15%",Augmented_Data!$P386="FLAT20","20%",Augmented_Data!$P386="DEL0","0 delivery charge")</f>
        <v>20%</v>
      </c>
      <c r="R386" s="14">
        <v>2</v>
      </c>
      <c r="S386" s="14" t="str">
        <f>_xlfn.IFS(Augmented_Data!U386-Augmented_Data!K386=Augmented_Data!$R386,"Intime",Augmented_Data!U386-Augmented_Data!K386&lt;Augmented_Data!R386,"Before Time",Augmented_Data!U386-Augmented_Data!K386&gt;Augmented_Data!R386,"Late")</f>
        <v>Late</v>
      </c>
      <c r="T386" s="14">
        <v>49</v>
      </c>
      <c r="U386" s="15">
        <v>45270</v>
      </c>
      <c r="V386" s="14">
        <f>DATEDIF(Augmented_Data!$K386,Augmented_Data!$U386,"D")</f>
        <v>6</v>
      </c>
      <c r="W386" s="14" t="s">
        <v>1934</v>
      </c>
      <c r="X386" s="14">
        <f>Augmented_Data!$Z386-Augmented_Data!$AA386</f>
        <v>86.683999999999969</v>
      </c>
      <c r="Y386" s="14">
        <f>Augmented_Data!$N386*Augmented_Data!$O386</f>
        <v>384.41999999999996</v>
      </c>
      <c r="Z386" s="14">
        <f>Augmented_Data!$Y386+Augmented_Data!$T386</f>
        <v>433.41999999999996</v>
      </c>
      <c r="AA386" s="16">
        <f>IF(Augmented_Data!Q386="0 delivery charge",Augmented_Data!Z386-Augmented_Data!T386,Augmented_Data!Z386*(1-Augmented_Data!Q386))</f>
        <v>346.73599999999999</v>
      </c>
    </row>
    <row r="387" spans="1:27" x14ac:dyDescent="0.3">
      <c r="A387" s="11" t="s">
        <v>81</v>
      </c>
      <c r="B387" s="11" t="str">
        <f>_xlfn.CONCAT(Augmented_Data!$C387," ",Augmented_Data!$D387)</f>
        <v>Beth Mason</v>
      </c>
      <c r="C387" s="11" t="s">
        <v>171</v>
      </c>
      <c r="D387" s="11" t="s">
        <v>258</v>
      </c>
      <c r="E387" s="11">
        <v>45</v>
      </c>
      <c r="F387" s="11" t="s">
        <v>290</v>
      </c>
      <c r="G387" s="11" t="s">
        <v>296</v>
      </c>
      <c r="H387" s="11" t="s">
        <v>362</v>
      </c>
      <c r="I387" s="11" t="s">
        <v>462</v>
      </c>
      <c r="J387" s="11" t="s">
        <v>884</v>
      </c>
      <c r="K387" s="12">
        <v>45404</v>
      </c>
      <c r="L387" s="11" t="s">
        <v>1384</v>
      </c>
      <c r="M387" s="11" t="s">
        <v>1524</v>
      </c>
      <c r="N387" s="11">
        <v>157.63999999999999</v>
      </c>
      <c r="O387" s="11">
        <v>3</v>
      </c>
      <c r="P387" s="11" t="s">
        <v>2047</v>
      </c>
      <c r="Q387" s="11" t="str">
        <f>_xlfn.IFS(Augmented_Data!$P387="FLAT8","8%",Augmented_Data!$P387="FLAT10","10%",Augmented_Data!$P387="FLAT15","15%",Augmented_Data!$P387="FLAT20","20%",Augmented_Data!$P387="DEL0","0 delivery charge")</f>
        <v>8%</v>
      </c>
      <c r="R387" s="11">
        <v>4</v>
      </c>
      <c r="S387" s="11" t="str">
        <f>_xlfn.IFS(Augmented_Data!U387-Augmented_Data!K387=Augmented_Data!$R387,"Intime",Augmented_Data!U387-Augmented_Data!K387&lt;Augmented_Data!R387,"Before Time",Augmented_Data!U387-Augmented_Data!K387&gt;Augmented_Data!R387,"Late")</f>
        <v>Before Time</v>
      </c>
      <c r="T387" s="11">
        <v>66</v>
      </c>
      <c r="U387" s="12">
        <v>45405</v>
      </c>
      <c r="V387" s="11">
        <f>DATEDIF(Augmented_Data!$K387,Augmented_Data!$U387,"D")</f>
        <v>1</v>
      </c>
      <c r="W387" s="11" t="s">
        <v>1843</v>
      </c>
      <c r="X387" s="11">
        <f>Augmented_Data!$Z387-Augmented_Data!$AA387</f>
        <v>43.113599999999963</v>
      </c>
      <c r="Y387" s="11">
        <f>Augmented_Data!$N387*Augmented_Data!$O387</f>
        <v>472.91999999999996</v>
      </c>
      <c r="Z387" s="11">
        <f>Augmented_Data!$Y387+Augmented_Data!$T387</f>
        <v>538.91999999999996</v>
      </c>
      <c r="AA387" s="13">
        <f>IF(Augmented_Data!Q387="0 delivery charge",Augmented_Data!Z387-Augmented_Data!T387,Augmented_Data!Z387*(1-Augmented_Data!Q387))</f>
        <v>495.8064</v>
      </c>
    </row>
    <row r="388" spans="1:27" x14ac:dyDescent="0.3">
      <c r="A388" s="14" t="s">
        <v>19</v>
      </c>
      <c r="B388" s="14" t="str">
        <f>_xlfn.CONCAT(Augmented_Data!$C388," ",Augmented_Data!$D388)</f>
        <v>Anthony Thomas</v>
      </c>
      <c r="C388" s="14" t="s">
        <v>119</v>
      </c>
      <c r="D388" s="14" t="s">
        <v>154</v>
      </c>
      <c r="E388" s="14">
        <v>53</v>
      </c>
      <c r="F388" s="14" t="s">
        <v>289</v>
      </c>
      <c r="G388" s="14" t="s">
        <v>292</v>
      </c>
      <c r="H388" s="14" t="s">
        <v>300</v>
      </c>
      <c r="I388" s="14" t="s">
        <v>400</v>
      </c>
      <c r="J388" s="14" t="s">
        <v>885</v>
      </c>
      <c r="K388" s="15">
        <v>45469</v>
      </c>
      <c r="L388" s="14" t="s">
        <v>1385</v>
      </c>
      <c r="M388" s="14" t="s">
        <v>1506</v>
      </c>
      <c r="N388" s="14">
        <v>372.62</v>
      </c>
      <c r="O388" s="14">
        <v>1</v>
      </c>
      <c r="P388" s="14" t="s">
        <v>1549</v>
      </c>
      <c r="Q388" s="14" t="str">
        <f>_xlfn.IFS(Augmented_Data!$P388="FLAT8","8%",Augmented_Data!$P388="FLAT10","10%",Augmented_Data!$P388="FLAT15","15%",Augmented_Data!$P388="FLAT20","20%",Augmented_Data!$P388="DEL0","0 delivery charge")</f>
        <v>10%</v>
      </c>
      <c r="R388" s="14">
        <v>1</v>
      </c>
      <c r="S388" s="14" t="str">
        <f>_xlfn.IFS(Augmented_Data!U388-Augmented_Data!K388=Augmented_Data!$R388,"Intime",Augmented_Data!U388-Augmented_Data!K388&lt;Augmented_Data!R388,"Before Time",Augmented_Data!U388-Augmented_Data!K388&gt;Augmented_Data!R388,"Late")</f>
        <v>Late</v>
      </c>
      <c r="T388" s="14">
        <v>66</v>
      </c>
      <c r="U388" s="15">
        <v>45471</v>
      </c>
      <c r="V388" s="14">
        <f>DATEDIF(Augmented_Data!$K388,Augmented_Data!$U388,"D")</f>
        <v>2</v>
      </c>
      <c r="W388" s="14" t="s">
        <v>1935</v>
      </c>
      <c r="X388" s="14">
        <f>Augmented_Data!$Z388-Augmented_Data!$AA388</f>
        <v>43.861999999999966</v>
      </c>
      <c r="Y388" s="14">
        <f>Augmented_Data!$N388*Augmented_Data!$O388</f>
        <v>372.62</v>
      </c>
      <c r="Z388" s="14">
        <f>Augmented_Data!$Y388+Augmented_Data!$T388</f>
        <v>438.62</v>
      </c>
      <c r="AA388" s="16">
        <f>IF(Augmented_Data!Q388="0 delivery charge",Augmented_Data!Z388-Augmented_Data!T388,Augmented_Data!Z388*(1-Augmented_Data!Q388))</f>
        <v>394.75800000000004</v>
      </c>
    </row>
    <row r="389" spans="1:27" x14ac:dyDescent="0.3">
      <c r="A389" s="11" t="s">
        <v>63</v>
      </c>
      <c r="B389" s="11" t="str">
        <f>_xlfn.CONCAT(Augmented_Data!$C389," ",Augmented_Data!$D389)</f>
        <v>Lauren Crane</v>
      </c>
      <c r="C389" s="11" t="s">
        <v>144</v>
      </c>
      <c r="D389" s="11" t="s">
        <v>244</v>
      </c>
      <c r="E389" s="11">
        <v>62</v>
      </c>
      <c r="F389" s="11" t="s">
        <v>289</v>
      </c>
      <c r="G389" s="11" t="s">
        <v>292</v>
      </c>
      <c r="H389" s="11" t="s">
        <v>344</v>
      </c>
      <c r="I389" s="11" t="s">
        <v>444</v>
      </c>
      <c r="J389" s="11" t="s">
        <v>740</v>
      </c>
      <c r="K389" s="12">
        <v>45116</v>
      </c>
      <c r="L389" s="11" t="s">
        <v>1240</v>
      </c>
      <c r="M389" s="11" t="s">
        <v>1503</v>
      </c>
      <c r="N389" s="11">
        <v>363.64</v>
      </c>
      <c r="O389" s="11">
        <v>4</v>
      </c>
      <c r="P389" s="11" t="s">
        <v>1547</v>
      </c>
      <c r="Q389" s="11" t="str">
        <f>_xlfn.IFS(Augmented_Data!$P389="FLAT8","8%",Augmented_Data!$P389="FLAT10","10%",Augmented_Data!$P389="FLAT15","15%",Augmented_Data!$P389="FLAT20","20%",Augmented_Data!$P389="DEL0","0 delivery charge")</f>
        <v>0 delivery charge</v>
      </c>
      <c r="R389" s="11">
        <v>6</v>
      </c>
      <c r="S389" s="11" t="str">
        <f>_xlfn.IFS(Augmented_Data!U389-Augmented_Data!K389=Augmented_Data!$R389,"Intime",Augmented_Data!U389-Augmented_Data!K389&lt;Augmented_Data!R389,"Before Time",Augmented_Data!U389-Augmented_Data!K389&gt;Augmented_Data!R389,"Late")</f>
        <v>Before Time</v>
      </c>
      <c r="T389" s="11">
        <v>56</v>
      </c>
      <c r="U389" s="12">
        <v>45121</v>
      </c>
      <c r="V389" s="11">
        <f>DATEDIF(Augmented_Data!$K389,Augmented_Data!$U389,"D")</f>
        <v>5</v>
      </c>
      <c r="W389" s="11" t="s">
        <v>1791</v>
      </c>
      <c r="X389" s="11">
        <f>Augmented_Data!$Z389-Augmented_Data!$AA389</f>
        <v>56</v>
      </c>
      <c r="Y389" s="11">
        <f>Augmented_Data!$N389*Augmented_Data!$O389</f>
        <v>1454.56</v>
      </c>
      <c r="Z389" s="11">
        <f>Augmented_Data!$Y389+Augmented_Data!$T389</f>
        <v>1510.56</v>
      </c>
      <c r="AA389" s="13">
        <f>IF(Augmented_Data!Q389="0 delivery charge",Augmented_Data!Z389-Augmented_Data!T389,Augmented_Data!Z389*(1-Augmented_Data!Q389))</f>
        <v>1454.56</v>
      </c>
    </row>
    <row r="390" spans="1:27" x14ac:dyDescent="0.3">
      <c r="A390" s="14" t="s">
        <v>41</v>
      </c>
      <c r="B390" s="14" t="str">
        <f>_xlfn.CONCAT(Augmented_Data!$C390," ",Augmented_Data!$D390)</f>
        <v>Angela Evans</v>
      </c>
      <c r="C390" s="14" t="s">
        <v>122</v>
      </c>
      <c r="D390" s="14" t="s">
        <v>222</v>
      </c>
      <c r="E390" s="14">
        <v>52</v>
      </c>
      <c r="F390" s="14" t="s">
        <v>290</v>
      </c>
      <c r="G390" s="14" t="s">
        <v>292</v>
      </c>
      <c r="H390" s="14" t="s">
        <v>322</v>
      </c>
      <c r="I390" s="14" t="s">
        <v>422</v>
      </c>
      <c r="J390" s="14" t="s">
        <v>887</v>
      </c>
      <c r="K390" s="15">
        <v>45397</v>
      </c>
      <c r="L390" s="14" t="s">
        <v>1387</v>
      </c>
      <c r="M390" s="14" t="s">
        <v>1531</v>
      </c>
      <c r="N390" s="14">
        <v>286.07</v>
      </c>
      <c r="O390" s="14">
        <v>5</v>
      </c>
      <c r="P390" s="14" t="s">
        <v>1547</v>
      </c>
      <c r="Q390" s="14" t="str">
        <f>_xlfn.IFS(Augmented_Data!$P390="FLAT8","8%",Augmented_Data!$P390="FLAT10","10%",Augmented_Data!$P390="FLAT15","15%",Augmented_Data!$P390="FLAT20","20%",Augmented_Data!$P390="DEL0","0 delivery charge")</f>
        <v>0 delivery charge</v>
      </c>
      <c r="R390" s="14">
        <v>1</v>
      </c>
      <c r="S390" s="14" t="str">
        <f>_xlfn.IFS(Augmented_Data!U390-Augmented_Data!K390=Augmented_Data!$R390,"Intime",Augmented_Data!U390-Augmented_Data!K390&lt;Augmented_Data!R390,"Before Time",Augmented_Data!U390-Augmented_Data!K390&gt;Augmented_Data!R390,"Late")</f>
        <v>Late</v>
      </c>
      <c r="T390" s="14">
        <v>41</v>
      </c>
      <c r="U390" s="15">
        <v>45404</v>
      </c>
      <c r="V390" s="14">
        <f>DATEDIF(Augmented_Data!$K390,Augmented_Data!$U390,"D")</f>
        <v>7</v>
      </c>
      <c r="W390" s="14" t="s">
        <v>1937</v>
      </c>
      <c r="X390" s="14">
        <f>Augmented_Data!$Z390-Augmented_Data!$AA390</f>
        <v>41</v>
      </c>
      <c r="Y390" s="14">
        <f>Augmented_Data!$N390*Augmented_Data!$O390</f>
        <v>1430.35</v>
      </c>
      <c r="Z390" s="14">
        <f>Augmented_Data!$Y390+Augmented_Data!$T390</f>
        <v>1471.35</v>
      </c>
      <c r="AA390" s="16">
        <f>IF(Augmented_Data!Q390="0 delivery charge",Augmented_Data!Z390-Augmented_Data!T390,Augmented_Data!Z390*(1-Augmented_Data!Q390))</f>
        <v>1430.35</v>
      </c>
    </row>
    <row r="391" spans="1:27" x14ac:dyDescent="0.3">
      <c r="A391" s="11" t="s">
        <v>74</v>
      </c>
      <c r="B391" s="11" t="str">
        <f>_xlfn.CONCAT(Augmented_Data!$C391," ",Augmented_Data!$D391)</f>
        <v>Jodi Whitney</v>
      </c>
      <c r="C391" s="11" t="s">
        <v>167</v>
      </c>
      <c r="D391" s="11" t="s">
        <v>252</v>
      </c>
      <c r="E391" s="11">
        <v>33</v>
      </c>
      <c r="F391" s="11" t="s">
        <v>290</v>
      </c>
      <c r="G391" s="11" t="s">
        <v>297</v>
      </c>
      <c r="H391" s="11" t="s">
        <v>355</v>
      </c>
      <c r="I391" s="11" t="s">
        <v>455</v>
      </c>
      <c r="J391" s="11" t="s">
        <v>888</v>
      </c>
      <c r="K391" s="12">
        <v>45302</v>
      </c>
      <c r="L391" s="11" t="s">
        <v>1388</v>
      </c>
      <c r="M391" s="11" t="s">
        <v>1517</v>
      </c>
      <c r="N391" s="11">
        <v>282.63</v>
      </c>
      <c r="O391" s="11">
        <v>3</v>
      </c>
      <c r="P391" s="11" t="s">
        <v>1547</v>
      </c>
      <c r="Q391" s="11" t="str">
        <f>_xlfn.IFS(Augmented_Data!$P391="FLAT8","8%",Augmented_Data!$P391="FLAT10","10%",Augmented_Data!$P391="FLAT15","15%",Augmented_Data!$P391="FLAT20","20%",Augmented_Data!$P391="DEL0","0 delivery charge")</f>
        <v>0 delivery charge</v>
      </c>
      <c r="R391" s="11">
        <v>4</v>
      </c>
      <c r="S391" s="11" t="str">
        <f>_xlfn.IFS(Augmented_Data!U391-Augmented_Data!K391=Augmented_Data!$R391,"Intime",Augmented_Data!U391-Augmented_Data!K391&lt;Augmented_Data!R391,"Before Time",Augmented_Data!U391-Augmented_Data!K391&gt;Augmented_Data!R391,"Late")</f>
        <v>Late</v>
      </c>
      <c r="T391" s="11">
        <v>66</v>
      </c>
      <c r="U391" s="12">
        <v>45307</v>
      </c>
      <c r="V391" s="11">
        <f>DATEDIF(Augmented_Data!$K391,Augmented_Data!$U391,"D")</f>
        <v>5</v>
      </c>
      <c r="W391" s="11" t="s">
        <v>1111</v>
      </c>
      <c r="X391" s="11">
        <f>Augmented_Data!$Z391-Augmented_Data!$AA391</f>
        <v>66</v>
      </c>
      <c r="Y391" s="11">
        <f>Augmented_Data!$N391*Augmented_Data!$O391</f>
        <v>847.89</v>
      </c>
      <c r="Z391" s="11">
        <f>Augmented_Data!$Y391+Augmented_Data!$T391</f>
        <v>913.89</v>
      </c>
      <c r="AA391" s="13">
        <f>IF(Augmented_Data!Q391="0 delivery charge",Augmented_Data!Z391-Augmented_Data!T391,Augmented_Data!Z391*(1-Augmented_Data!Q391))</f>
        <v>847.89</v>
      </c>
    </row>
    <row r="392" spans="1:27" x14ac:dyDescent="0.3">
      <c r="A392" s="14" t="s">
        <v>72</v>
      </c>
      <c r="B392" s="14" t="str">
        <f>_xlfn.CONCAT(Augmented_Data!$C392," ",Augmented_Data!$D392)</f>
        <v>Lauren Lane</v>
      </c>
      <c r="C392" s="14" t="s">
        <v>144</v>
      </c>
      <c r="D392" s="14" t="s">
        <v>250</v>
      </c>
      <c r="E392" s="14">
        <v>30</v>
      </c>
      <c r="F392" s="14" t="s">
        <v>288</v>
      </c>
      <c r="G392" s="14" t="s">
        <v>298</v>
      </c>
      <c r="H392" s="14" t="s">
        <v>353</v>
      </c>
      <c r="I392" s="14" t="s">
        <v>453</v>
      </c>
      <c r="J392" s="14" t="s">
        <v>823</v>
      </c>
      <c r="K392" s="15">
        <v>45361</v>
      </c>
      <c r="L392" s="14" t="s">
        <v>1323</v>
      </c>
      <c r="M392" s="14" t="s">
        <v>1506</v>
      </c>
      <c r="N392" s="14">
        <v>372.62</v>
      </c>
      <c r="O392" s="14">
        <v>5</v>
      </c>
      <c r="P392" s="14" t="s">
        <v>2047</v>
      </c>
      <c r="Q392" s="14" t="str">
        <f>_xlfn.IFS(Augmented_Data!$P392="FLAT8","8%",Augmented_Data!$P392="FLAT10","10%",Augmented_Data!$P392="FLAT15","15%",Augmented_Data!$P392="FLAT20","20%",Augmented_Data!$P392="DEL0","0 delivery charge")</f>
        <v>8%</v>
      </c>
      <c r="R392" s="14">
        <v>4</v>
      </c>
      <c r="S392" s="14" t="str">
        <f>_xlfn.IFS(Augmented_Data!U392-Augmented_Data!K392=Augmented_Data!$R392,"Intime",Augmented_Data!U392-Augmented_Data!K392&lt;Augmented_Data!R392,"Before Time",Augmented_Data!U392-Augmented_Data!K392&gt;Augmented_Data!R392,"Late")</f>
        <v>Before Time</v>
      </c>
      <c r="T392" s="14">
        <v>66</v>
      </c>
      <c r="U392" s="15">
        <v>45364</v>
      </c>
      <c r="V392" s="14">
        <f>DATEDIF(Augmented_Data!$K392,Augmented_Data!$U392,"D")</f>
        <v>3</v>
      </c>
      <c r="W392" s="14" t="s">
        <v>1874</v>
      </c>
      <c r="X392" s="14">
        <f>Augmented_Data!$Z392-Augmented_Data!$AA392</f>
        <v>154.32799999999997</v>
      </c>
      <c r="Y392" s="14">
        <f>Augmented_Data!$N392*Augmented_Data!$O392</f>
        <v>1863.1</v>
      </c>
      <c r="Z392" s="14">
        <f>Augmented_Data!$Y392+Augmented_Data!$T392</f>
        <v>1929.1</v>
      </c>
      <c r="AA392" s="16">
        <f>IF(Augmented_Data!Q392="0 delivery charge",Augmented_Data!Z392-Augmented_Data!T392,Augmented_Data!Z392*(1-Augmented_Data!Q392))</f>
        <v>1774.7719999999999</v>
      </c>
    </row>
    <row r="393" spans="1:27" x14ac:dyDescent="0.3">
      <c r="A393" s="11" t="s">
        <v>34</v>
      </c>
      <c r="B393" s="11" t="str">
        <f>_xlfn.CONCAT(Augmented_Data!$C393," ",Augmented_Data!$D393)</f>
        <v>Gina Moreno</v>
      </c>
      <c r="C393" s="11" t="s">
        <v>134</v>
      </c>
      <c r="D393" s="11" t="s">
        <v>216</v>
      </c>
      <c r="E393" s="11">
        <v>36</v>
      </c>
      <c r="F393" s="11" t="s">
        <v>290</v>
      </c>
      <c r="G393" s="11" t="s">
        <v>294</v>
      </c>
      <c r="H393" s="11" t="s">
        <v>315</v>
      </c>
      <c r="I393" s="11" t="s">
        <v>415</v>
      </c>
      <c r="J393" s="11" t="s">
        <v>890</v>
      </c>
      <c r="K393" s="12">
        <v>45091</v>
      </c>
      <c r="L393" s="11" t="s">
        <v>1390</v>
      </c>
      <c r="M393" s="11" t="s">
        <v>1540</v>
      </c>
      <c r="N393" s="11">
        <v>424.82</v>
      </c>
      <c r="O393" s="11">
        <v>4</v>
      </c>
      <c r="P393" s="11" t="s">
        <v>1549</v>
      </c>
      <c r="Q393" s="11" t="str">
        <f>_xlfn.IFS(Augmented_Data!$P393="FLAT8","8%",Augmented_Data!$P393="FLAT10","10%",Augmented_Data!$P393="FLAT15","15%",Augmented_Data!$P393="FLAT20","20%",Augmented_Data!$P393="DEL0","0 delivery charge")</f>
        <v>10%</v>
      </c>
      <c r="R393" s="11">
        <v>5</v>
      </c>
      <c r="S393" s="11" t="str">
        <f>_xlfn.IFS(Augmented_Data!U393-Augmented_Data!K393=Augmented_Data!$R393,"Intime",Augmented_Data!U393-Augmented_Data!K393&lt;Augmented_Data!R393,"Before Time",Augmented_Data!U393-Augmented_Data!K393&gt;Augmented_Data!R393,"Late")</f>
        <v>Late</v>
      </c>
      <c r="T393" s="11">
        <v>58</v>
      </c>
      <c r="U393" s="12">
        <v>45098</v>
      </c>
      <c r="V393" s="11">
        <f>DATEDIF(Augmented_Data!$K393,Augmented_Data!$U393,"D")</f>
        <v>7</v>
      </c>
      <c r="W393" s="11" t="s">
        <v>1939</v>
      </c>
      <c r="X393" s="11">
        <f>Augmented_Data!$Z393-Augmented_Data!$AA393</f>
        <v>175.72800000000007</v>
      </c>
      <c r="Y393" s="11">
        <f>Augmented_Data!$N393*Augmented_Data!$O393</f>
        <v>1699.28</v>
      </c>
      <c r="Z393" s="11">
        <f>Augmented_Data!$Y393+Augmented_Data!$T393</f>
        <v>1757.28</v>
      </c>
      <c r="AA393" s="13">
        <f>IF(Augmented_Data!Q393="0 delivery charge",Augmented_Data!Z393-Augmented_Data!T393,Augmented_Data!Z393*(1-Augmented_Data!Q393))</f>
        <v>1581.5519999999999</v>
      </c>
    </row>
    <row r="394" spans="1:27" x14ac:dyDescent="0.3">
      <c r="A394" s="14" t="s">
        <v>59</v>
      </c>
      <c r="B394" s="14" t="str">
        <f>_xlfn.CONCAT(Augmented_Data!$C394," ",Augmented_Data!$D394)</f>
        <v>Alexandra Smith</v>
      </c>
      <c r="C394" s="14" t="s">
        <v>156</v>
      </c>
      <c r="D394" s="14" t="s">
        <v>240</v>
      </c>
      <c r="E394" s="14">
        <v>70</v>
      </c>
      <c r="F394" s="14" t="s">
        <v>288</v>
      </c>
      <c r="G394" s="14" t="s">
        <v>291</v>
      </c>
      <c r="H394" s="14" t="s">
        <v>340</v>
      </c>
      <c r="I394" s="14" t="s">
        <v>440</v>
      </c>
      <c r="J394" s="14" t="s">
        <v>891</v>
      </c>
      <c r="K394" s="15">
        <v>45172</v>
      </c>
      <c r="L394" s="14" t="s">
        <v>1391</v>
      </c>
      <c r="M394" s="14" t="s">
        <v>1519</v>
      </c>
      <c r="N394" s="14">
        <v>421.7</v>
      </c>
      <c r="O394" s="14">
        <v>3</v>
      </c>
      <c r="P394" s="14" t="s">
        <v>1547</v>
      </c>
      <c r="Q394" s="14" t="str">
        <f>_xlfn.IFS(Augmented_Data!$P394="FLAT8","8%",Augmented_Data!$P394="FLAT10","10%",Augmented_Data!$P394="FLAT15","15%",Augmented_Data!$P394="FLAT20","20%",Augmented_Data!$P394="DEL0","0 delivery charge")</f>
        <v>0 delivery charge</v>
      </c>
      <c r="R394" s="14">
        <v>3</v>
      </c>
      <c r="S394" s="14" t="str">
        <f>_xlfn.IFS(Augmented_Data!U394-Augmented_Data!K394=Augmented_Data!$R394,"Intime",Augmented_Data!U394-Augmented_Data!K394&lt;Augmented_Data!R394,"Before Time",Augmented_Data!U394-Augmented_Data!K394&gt;Augmented_Data!R394,"Late")</f>
        <v>Late</v>
      </c>
      <c r="T394" s="14">
        <v>56</v>
      </c>
      <c r="U394" s="15">
        <v>45177</v>
      </c>
      <c r="V394" s="14">
        <f>DATEDIF(Augmented_Data!$K394,Augmented_Data!$U394,"D")</f>
        <v>5</v>
      </c>
      <c r="W394" s="14" t="s">
        <v>1940</v>
      </c>
      <c r="X394" s="14">
        <f>Augmented_Data!$Z394-Augmented_Data!$AA394</f>
        <v>56</v>
      </c>
      <c r="Y394" s="14">
        <f>Augmented_Data!$N394*Augmented_Data!$O394</f>
        <v>1265.0999999999999</v>
      </c>
      <c r="Z394" s="14">
        <f>Augmented_Data!$Y394+Augmented_Data!$T394</f>
        <v>1321.1</v>
      </c>
      <c r="AA394" s="16">
        <f>IF(Augmented_Data!Q394="0 delivery charge",Augmented_Data!Z394-Augmented_Data!T394,Augmented_Data!Z394*(1-Augmented_Data!Q394))</f>
        <v>1265.0999999999999</v>
      </c>
    </row>
    <row r="395" spans="1:27" x14ac:dyDescent="0.3">
      <c r="A395" s="11" t="s">
        <v>87</v>
      </c>
      <c r="B395" s="11" t="str">
        <f>_xlfn.CONCAT(Augmented_Data!$C395," ",Augmented_Data!$D395)</f>
        <v>Bruce Allen</v>
      </c>
      <c r="C395" s="11" t="s">
        <v>177</v>
      </c>
      <c r="D395" s="11" t="s">
        <v>264</v>
      </c>
      <c r="E395" s="11">
        <v>32</v>
      </c>
      <c r="F395" s="11" t="s">
        <v>289</v>
      </c>
      <c r="G395" s="11" t="s">
        <v>291</v>
      </c>
      <c r="H395" s="11" t="s">
        <v>368</v>
      </c>
      <c r="I395" s="11" t="s">
        <v>468</v>
      </c>
      <c r="J395" s="11" t="s">
        <v>892</v>
      </c>
      <c r="K395" s="12">
        <v>45343</v>
      </c>
      <c r="L395" s="11" t="s">
        <v>1392</v>
      </c>
      <c r="M395" s="11" t="s">
        <v>1545</v>
      </c>
      <c r="N395" s="11">
        <v>292.14999999999998</v>
      </c>
      <c r="O395" s="11">
        <v>2</v>
      </c>
      <c r="P395" s="11" t="s">
        <v>1548</v>
      </c>
      <c r="Q395" s="11" t="str">
        <f>_xlfn.IFS(Augmented_Data!$P395="FLAT8","8%",Augmented_Data!$P395="FLAT10","10%",Augmented_Data!$P395="FLAT15","15%",Augmented_Data!$P395="FLAT20","20%",Augmented_Data!$P395="DEL0","0 delivery charge")</f>
        <v>15%</v>
      </c>
      <c r="R395" s="11">
        <v>6</v>
      </c>
      <c r="S395" s="11" t="str">
        <f>_xlfn.IFS(Augmented_Data!U395-Augmented_Data!K395=Augmented_Data!$R395,"Intime",Augmented_Data!U395-Augmented_Data!K395&lt;Augmented_Data!R395,"Before Time",Augmented_Data!U395-Augmented_Data!K395&gt;Augmented_Data!R395,"Late")</f>
        <v>Before Time</v>
      </c>
      <c r="T395" s="11">
        <v>60</v>
      </c>
      <c r="U395" s="12">
        <v>45348</v>
      </c>
      <c r="V395" s="11">
        <f>DATEDIF(Augmented_Data!$K395,Augmented_Data!$U395,"D")</f>
        <v>5</v>
      </c>
      <c r="W395" s="11" t="s">
        <v>1941</v>
      </c>
      <c r="X395" s="11">
        <f>Augmented_Data!$Z395-Augmented_Data!$AA395</f>
        <v>96.644999999999982</v>
      </c>
      <c r="Y395" s="11">
        <f>Augmented_Data!$N395*Augmented_Data!$O395</f>
        <v>584.29999999999995</v>
      </c>
      <c r="Z395" s="11">
        <f>Augmented_Data!$Y395+Augmented_Data!$T395</f>
        <v>644.29999999999995</v>
      </c>
      <c r="AA395" s="13">
        <f>IF(Augmented_Data!Q395="0 delivery charge",Augmented_Data!Z395-Augmented_Data!T395,Augmented_Data!Z395*(1-Augmented_Data!Q395))</f>
        <v>547.65499999999997</v>
      </c>
    </row>
    <row r="396" spans="1:27" x14ac:dyDescent="0.3">
      <c r="A396" s="14" t="s">
        <v>39</v>
      </c>
      <c r="B396" s="14" t="str">
        <f>_xlfn.CONCAT(Augmented_Data!$C396," ",Augmented_Data!$D396)</f>
        <v>Mark Henderson</v>
      </c>
      <c r="C396" s="14" t="s">
        <v>139</v>
      </c>
      <c r="D396" s="14" t="s">
        <v>220</v>
      </c>
      <c r="E396" s="14">
        <v>33</v>
      </c>
      <c r="F396" s="14" t="s">
        <v>290</v>
      </c>
      <c r="G396" s="14" t="s">
        <v>298</v>
      </c>
      <c r="H396" s="14" t="s">
        <v>320</v>
      </c>
      <c r="I396" s="14" t="s">
        <v>420</v>
      </c>
      <c r="J396" s="14" t="s">
        <v>893</v>
      </c>
      <c r="K396" s="15">
        <v>45657</v>
      </c>
      <c r="L396" s="14" t="s">
        <v>1393</v>
      </c>
      <c r="M396" s="14" t="s">
        <v>1506</v>
      </c>
      <c r="N396" s="14">
        <v>372.62</v>
      </c>
      <c r="O396" s="14">
        <v>1</v>
      </c>
      <c r="P396" s="14" t="s">
        <v>1548</v>
      </c>
      <c r="Q396" s="14" t="str">
        <f>_xlfn.IFS(Augmented_Data!$P396="FLAT8","8%",Augmented_Data!$P396="FLAT10","10%",Augmented_Data!$P396="FLAT15","15%",Augmented_Data!$P396="FLAT20","20%",Augmented_Data!$P396="DEL0","0 delivery charge")</f>
        <v>15%</v>
      </c>
      <c r="R396" s="14">
        <v>5</v>
      </c>
      <c r="S396" s="14" t="str">
        <f>_xlfn.IFS(Augmented_Data!U396-Augmented_Data!K396=Augmented_Data!$R396,"Intime",Augmented_Data!U396-Augmented_Data!K396&lt;Augmented_Data!R396,"Before Time",Augmented_Data!U396-Augmented_Data!K396&gt;Augmented_Data!R396,"Late")</f>
        <v>Before Time</v>
      </c>
      <c r="T396" s="14">
        <v>50</v>
      </c>
      <c r="U396" s="15">
        <v>45661</v>
      </c>
      <c r="V396" s="14">
        <f>DATEDIF(Augmented_Data!$K396,Augmented_Data!$U396,"D")</f>
        <v>4</v>
      </c>
      <c r="W396" s="14" t="s">
        <v>1942</v>
      </c>
      <c r="X396" s="14">
        <f>Augmented_Data!$Z396-Augmented_Data!$AA396</f>
        <v>63.393000000000029</v>
      </c>
      <c r="Y396" s="14">
        <f>Augmented_Data!$N396*Augmented_Data!$O396</f>
        <v>372.62</v>
      </c>
      <c r="Z396" s="14">
        <f>Augmented_Data!$Y396+Augmented_Data!$T396</f>
        <v>422.62</v>
      </c>
      <c r="AA396" s="16">
        <f>IF(Augmented_Data!Q396="0 delivery charge",Augmented_Data!Z396-Augmented_Data!T396,Augmented_Data!Z396*(1-Augmented_Data!Q396))</f>
        <v>359.22699999999998</v>
      </c>
    </row>
    <row r="397" spans="1:27" x14ac:dyDescent="0.3">
      <c r="A397" s="11" t="s">
        <v>63</v>
      </c>
      <c r="B397" s="11" t="str">
        <f>_xlfn.CONCAT(Augmented_Data!$C397," ",Augmented_Data!$D397)</f>
        <v>Lauren Crane</v>
      </c>
      <c r="C397" s="11" t="s">
        <v>144</v>
      </c>
      <c r="D397" s="11" t="s">
        <v>244</v>
      </c>
      <c r="E397" s="11">
        <v>62</v>
      </c>
      <c r="F397" s="11" t="s">
        <v>289</v>
      </c>
      <c r="G397" s="11" t="s">
        <v>292</v>
      </c>
      <c r="H397" s="11" t="s">
        <v>344</v>
      </c>
      <c r="I397" s="11" t="s">
        <v>444</v>
      </c>
      <c r="J397" s="11" t="s">
        <v>742</v>
      </c>
      <c r="K397" s="12">
        <v>45340</v>
      </c>
      <c r="L397" s="11" t="s">
        <v>1242</v>
      </c>
      <c r="M397" s="11" t="s">
        <v>1505</v>
      </c>
      <c r="N397" s="11">
        <v>48.45</v>
      </c>
      <c r="O397" s="11">
        <v>3</v>
      </c>
      <c r="P397" s="11" t="s">
        <v>1548</v>
      </c>
      <c r="Q397" s="11" t="str">
        <f>_xlfn.IFS(Augmented_Data!$P397="FLAT8","8%",Augmented_Data!$P397="FLAT10","10%",Augmented_Data!$P397="FLAT15","15%",Augmented_Data!$P397="FLAT20","20%",Augmented_Data!$P397="DEL0","0 delivery charge")</f>
        <v>15%</v>
      </c>
      <c r="R397" s="11">
        <v>5</v>
      </c>
      <c r="S397" s="11" t="str">
        <f>_xlfn.IFS(Augmented_Data!U397-Augmented_Data!K397=Augmented_Data!$R397,"Intime",Augmented_Data!U397-Augmented_Data!K397&lt;Augmented_Data!R397,"Before Time",Augmented_Data!U397-Augmented_Data!K397&gt;Augmented_Data!R397,"Late")</f>
        <v>Late</v>
      </c>
      <c r="T397" s="11">
        <v>42</v>
      </c>
      <c r="U397" s="12">
        <v>45347</v>
      </c>
      <c r="V397" s="11">
        <f>DATEDIF(Augmented_Data!$K397,Augmented_Data!$U397,"D")</f>
        <v>7</v>
      </c>
      <c r="W397" s="11" t="s">
        <v>1793</v>
      </c>
      <c r="X397" s="11">
        <f>Augmented_Data!$Z397-Augmented_Data!$AA397</f>
        <v>28.10250000000002</v>
      </c>
      <c r="Y397" s="11">
        <f>Augmented_Data!$N397*Augmented_Data!$O397</f>
        <v>145.35000000000002</v>
      </c>
      <c r="Z397" s="11">
        <f>Augmented_Data!$Y397+Augmented_Data!$T397</f>
        <v>187.35000000000002</v>
      </c>
      <c r="AA397" s="13">
        <f>IF(Augmented_Data!Q397="0 delivery charge",Augmented_Data!Z397-Augmented_Data!T397,Augmented_Data!Z397*(1-Augmented_Data!Q397))</f>
        <v>159.2475</v>
      </c>
    </row>
    <row r="398" spans="1:27" x14ac:dyDescent="0.3">
      <c r="A398" s="14" t="s">
        <v>82</v>
      </c>
      <c r="B398" s="14" t="str">
        <f>_xlfn.CONCAT(Augmented_Data!$C398," ",Augmented_Data!$D398)</f>
        <v>Christy Chang</v>
      </c>
      <c r="C398" s="14" t="s">
        <v>172</v>
      </c>
      <c r="D398" s="14" t="s">
        <v>259</v>
      </c>
      <c r="E398" s="14">
        <v>38</v>
      </c>
      <c r="F398" s="14" t="s">
        <v>289</v>
      </c>
      <c r="G398" s="14" t="s">
        <v>298</v>
      </c>
      <c r="H398" s="14" t="s">
        <v>363</v>
      </c>
      <c r="I398" s="14" t="s">
        <v>463</v>
      </c>
      <c r="J398" s="14" t="s">
        <v>895</v>
      </c>
      <c r="K398" s="15">
        <v>45312</v>
      </c>
      <c r="L398" s="14" t="s">
        <v>1395</v>
      </c>
      <c r="M398" s="14" t="s">
        <v>1509</v>
      </c>
      <c r="N398" s="14">
        <v>190.1</v>
      </c>
      <c r="O398" s="14">
        <v>3</v>
      </c>
      <c r="P398" s="14" t="s">
        <v>1549</v>
      </c>
      <c r="Q398" s="14" t="str">
        <f>_xlfn.IFS(Augmented_Data!$P398="FLAT8","8%",Augmented_Data!$P398="FLAT10","10%",Augmented_Data!$P398="FLAT15","15%",Augmented_Data!$P398="FLAT20","20%",Augmented_Data!$P398="DEL0","0 delivery charge")</f>
        <v>10%</v>
      </c>
      <c r="R398" s="14">
        <v>3</v>
      </c>
      <c r="S398" s="14" t="str">
        <f>_xlfn.IFS(Augmented_Data!U398-Augmented_Data!K398=Augmented_Data!$R398,"Intime",Augmented_Data!U398-Augmented_Data!K398&lt;Augmented_Data!R398,"Before Time",Augmented_Data!U398-Augmented_Data!K398&gt;Augmented_Data!R398,"Late")</f>
        <v>Intime</v>
      </c>
      <c r="T398" s="14">
        <v>41</v>
      </c>
      <c r="U398" s="15">
        <v>45315</v>
      </c>
      <c r="V398" s="14">
        <f>DATEDIF(Augmented_Data!$K398,Augmented_Data!$U398,"D")</f>
        <v>3</v>
      </c>
      <c r="W398" s="14" t="s">
        <v>1944</v>
      </c>
      <c r="X398" s="14">
        <f>Augmented_Data!$Z398-Augmented_Data!$AA398</f>
        <v>61.129999999999995</v>
      </c>
      <c r="Y398" s="14">
        <f>Augmented_Data!$N398*Augmented_Data!$O398</f>
        <v>570.29999999999995</v>
      </c>
      <c r="Z398" s="14">
        <f>Augmented_Data!$Y398+Augmented_Data!$T398</f>
        <v>611.29999999999995</v>
      </c>
      <c r="AA398" s="16">
        <f>IF(Augmented_Data!Q398="0 delivery charge",Augmented_Data!Z398-Augmented_Data!T398,Augmented_Data!Z398*(1-Augmented_Data!Q398))</f>
        <v>550.16999999999996</v>
      </c>
    </row>
    <row r="399" spans="1:27" x14ac:dyDescent="0.3">
      <c r="A399" s="11" t="s">
        <v>63</v>
      </c>
      <c r="B399" s="11" t="str">
        <f>_xlfn.CONCAT(Augmented_Data!$C399," ",Augmented_Data!$D399)</f>
        <v>Lauren Crane</v>
      </c>
      <c r="C399" s="11" t="s">
        <v>144</v>
      </c>
      <c r="D399" s="11" t="s">
        <v>244</v>
      </c>
      <c r="E399" s="11">
        <v>62</v>
      </c>
      <c r="F399" s="11" t="s">
        <v>289</v>
      </c>
      <c r="G399" s="11" t="s">
        <v>292</v>
      </c>
      <c r="H399" s="11" t="s">
        <v>344</v>
      </c>
      <c r="I399" s="11" t="s">
        <v>444</v>
      </c>
      <c r="J399" s="11" t="s">
        <v>763</v>
      </c>
      <c r="K399" s="12">
        <v>45344</v>
      </c>
      <c r="L399" s="11" t="s">
        <v>1263</v>
      </c>
      <c r="M399" s="11" t="s">
        <v>1514</v>
      </c>
      <c r="N399" s="11">
        <v>461.07</v>
      </c>
      <c r="O399" s="11">
        <v>4</v>
      </c>
      <c r="P399" s="11" t="s">
        <v>1548</v>
      </c>
      <c r="Q399" s="11" t="str">
        <f>_xlfn.IFS(Augmented_Data!$P399="FLAT8","8%",Augmented_Data!$P399="FLAT10","10%",Augmented_Data!$P399="FLAT15","15%",Augmented_Data!$P399="FLAT20","20%",Augmented_Data!$P399="DEL0","0 delivery charge")</f>
        <v>15%</v>
      </c>
      <c r="R399" s="11">
        <v>1</v>
      </c>
      <c r="S399" s="11" t="str">
        <f>_xlfn.IFS(Augmented_Data!U399-Augmented_Data!K399=Augmented_Data!$R399,"Intime",Augmented_Data!U399-Augmented_Data!K399&lt;Augmented_Data!R399,"Before Time",Augmented_Data!U399-Augmented_Data!K399&gt;Augmented_Data!R399,"Late")</f>
        <v>Late</v>
      </c>
      <c r="T399" s="11">
        <v>66</v>
      </c>
      <c r="U399" s="12">
        <v>45346</v>
      </c>
      <c r="V399" s="11">
        <f>DATEDIF(Augmented_Data!$K399,Augmented_Data!$U399,"D")</f>
        <v>2</v>
      </c>
      <c r="W399" s="11" t="s">
        <v>1814</v>
      </c>
      <c r="X399" s="11">
        <f>Augmented_Data!$Z399-Augmented_Data!$AA399</f>
        <v>286.54200000000014</v>
      </c>
      <c r="Y399" s="11">
        <f>Augmented_Data!$N399*Augmented_Data!$O399</f>
        <v>1844.28</v>
      </c>
      <c r="Z399" s="11">
        <f>Augmented_Data!$Y399+Augmented_Data!$T399</f>
        <v>1910.28</v>
      </c>
      <c r="AA399" s="13">
        <f>IF(Augmented_Data!Q399="0 delivery charge",Augmented_Data!Z399-Augmented_Data!T399,Augmented_Data!Z399*(1-Augmented_Data!Q399))</f>
        <v>1623.7379999999998</v>
      </c>
    </row>
    <row r="400" spans="1:27" x14ac:dyDescent="0.3">
      <c r="A400" s="14" t="s">
        <v>51</v>
      </c>
      <c r="B400" s="14" t="str">
        <f>_xlfn.CONCAT(Augmented_Data!$C400," ",Augmented_Data!$D400)</f>
        <v>Courtney Parker</v>
      </c>
      <c r="C400" s="14" t="s">
        <v>149</v>
      </c>
      <c r="D400" s="14" t="s">
        <v>232</v>
      </c>
      <c r="E400" s="14">
        <v>29</v>
      </c>
      <c r="F400" s="14" t="s">
        <v>290</v>
      </c>
      <c r="G400" s="14" t="s">
        <v>296</v>
      </c>
      <c r="H400" s="14" t="s">
        <v>332</v>
      </c>
      <c r="I400" s="14" t="s">
        <v>432</v>
      </c>
      <c r="J400" s="14" t="s">
        <v>897</v>
      </c>
      <c r="K400" s="15">
        <v>45295</v>
      </c>
      <c r="L400" s="14" t="s">
        <v>1397</v>
      </c>
      <c r="M400" s="14" t="s">
        <v>1524</v>
      </c>
      <c r="N400" s="14">
        <v>157.63999999999999</v>
      </c>
      <c r="O400" s="14">
        <v>5</v>
      </c>
      <c r="P400" s="14" t="s">
        <v>2047</v>
      </c>
      <c r="Q400" s="14" t="str">
        <f>_xlfn.IFS(Augmented_Data!$P400="FLAT8","8%",Augmented_Data!$P400="FLAT10","10%",Augmented_Data!$P400="FLAT15","15%",Augmented_Data!$P400="FLAT20","20%",Augmented_Data!$P400="DEL0","0 delivery charge")</f>
        <v>8%</v>
      </c>
      <c r="R400" s="14">
        <v>2</v>
      </c>
      <c r="S400" s="14" t="str">
        <f>_xlfn.IFS(Augmented_Data!U400-Augmented_Data!K400=Augmented_Data!$R400,"Intime",Augmented_Data!U400-Augmented_Data!K400&lt;Augmented_Data!R400,"Before Time",Augmented_Data!U400-Augmented_Data!K400&gt;Augmented_Data!R400,"Late")</f>
        <v>Late</v>
      </c>
      <c r="T400" s="14">
        <v>46</v>
      </c>
      <c r="U400" s="15">
        <v>45301</v>
      </c>
      <c r="V400" s="14">
        <f>DATEDIF(Augmented_Data!$K400,Augmented_Data!$U400,"D")</f>
        <v>6</v>
      </c>
      <c r="W400" s="14" t="s">
        <v>1946</v>
      </c>
      <c r="X400" s="14">
        <f>Augmented_Data!$Z400-Augmented_Data!$AA400</f>
        <v>66.73599999999999</v>
      </c>
      <c r="Y400" s="14">
        <f>Augmented_Data!$N400*Augmented_Data!$O400</f>
        <v>788.19999999999993</v>
      </c>
      <c r="Z400" s="14">
        <f>Augmented_Data!$Y400+Augmented_Data!$T400</f>
        <v>834.19999999999993</v>
      </c>
      <c r="AA400" s="16">
        <f>IF(Augmented_Data!Q400="0 delivery charge",Augmented_Data!Z400-Augmented_Data!T400,Augmented_Data!Z400*(1-Augmented_Data!Q400))</f>
        <v>767.46399999999994</v>
      </c>
    </row>
    <row r="401" spans="1:27" x14ac:dyDescent="0.3">
      <c r="A401" s="11" t="s">
        <v>37</v>
      </c>
      <c r="B401" s="11" t="str">
        <f>_xlfn.CONCAT(Augmented_Data!$C401," ",Augmented_Data!$D401)</f>
        <v>Deborah Bates</v>
      </c>
      <c r="C401" s="11" t="s">
        <v>137</v>
      </c>
      <c r="D401" s="11" t="s">
        <v>218</v>
      </c>
      <c r="E401" s="11">
        <v>23</v>
      </c>
      <c r="F401" s="11" t="s">
        <v>288</v>
      </c>
      <c r="G401" s="11" t="s">
        <v>296</v>
      </c>
      <c r="H401" s="11" t="s">
        <v>318</v>
      </c>
      <c r="I401" s="11" t="s">
        <v>418</v>
      </c>
      <c r="J401" s="11" t="s">
        <v>898</v>
      </c>
      <c r="K401" s="12">
        <v>45477</v>
      </c>
      <c r="L401" s="11" t="s">
        <v>1398</v>
      </c>
      <c r="M401" s="11" t="s">
        <v>1537</v>
      </c>
      <c r="N401" s="11">
        <v>445.81</v>
      </c>
      <c r="O401" s="11">
        <v>3</v>
      </c>
      <c r="P401" s="11" t="s">
        <v>2047</v>
      </c>
      <c r="Q401" s="11" t="str">
        <f>_xlfn.IFS(Augmented_Data!$P401="FLAT8","8%",Augmented_Data!$P401="FLAT10","10%",Augmented_Data!$P401="FLAT15","15%",Augmented_Data!$P401="FLAT20","20%",Augmented_Data!$P401="DEL0","0 delivery charge")</f>
        <v>8%</v>
      </c>
      <c r="R401" s="11">
        <v>1</v>
      </c>
      <c r="S401" s="11" t="str">
        <f>_xlfn.IFS(Augmented_Data!U401-Augmented_Data!K401=Augmented_Data!$R401,"Intime",Augmented_Data!U401-Augmented_Data!K401&lt;Augmented_Data!R401,"Before Time",Augmented_Data!U401-Augmented_Data!K401&gt;Augmented_Data!R401,"Late")</f>
        <v>Intime</v>
      </c>
      <c r="T401" s="11">
        <v>37</v>
      </c>
      <c r="U401" s="12">
        <v>45478</v>
      </c>
      <c r="V401" s="11">
        <f>DATEDIF(Augmented_Data!$K401,Augmented_Data!$U401,"D")</f>
        <v>1</v>
      </c>
      <c r="W401" s="11" t="s">
        <v>1947</v>
      </c>
      <c r="X401" s="11">
        <f>Augmented_Data!$Z401-Augmented_Data!$AA401</f>
        <v>109.95439999999985</v>
      </c>
      <c r="Y401" s="11">
        <f>Augmented_Data!$N401*Augmented_Data!$O401</f>
        <v>1337.43</v>
      </c>
      <c r="Z401" s="11">
        <f>Augmented_Data!$Y401+Augmented_Data!$T401</f>
        <v>1374.43</v>
      </c>
      <c r="AA401" s="13">
        <f>IF(Augmented_Data!Q401="0 delivery charge",Augmented_Data!Z401-Augmented_Data!T401,Augmented_Data!Z401*(1-Augmented_Data!Q401))</f>
        <v>1264.4756000000002</v>
      </c>
    </row>
    <row r="402" spans="1:27" x14ac:dyDescent="0.3">
      <c r="A402" s="14" t="s">
        <v>98</v>
      </c>
      <c r="B402" s="14" t="str">
        <f>_xlfn.CONCAT(Augmented_Data!$C402," ",Augmented_Data!$D402)</f>
        <v>Katie Hicks</v>
      </c>
      <c r="C402" s="14" t="s">
        <v>187</v>
      </c>
      <c r="D402" s="14" t="s">
        <v>236</v>
      </c>
      <c r="E402" s="14">
        <v>34</v>
      </c>
      <c r="F402" s="14" t="s">
        <v>290</v>
      </c>
      <c r="G402" s="14" t="s">
        <v>293</v>
      </c>
      <c r="H402" s="14" t="s">
        <v>379</v>
      </c>
      <c r="I402" s="14" t="s">
        <v>479</v>
      </c>
      <c r="J402" s="14" t="s">
        <v>648</v>
      </c>
      <c r="K402" s="15">
        <v>45646</v>
      </c>
      <c r="L402" s="14" t="s">
        <v>1148</v>
      </c>
      <c r="M402" s="14" t="s">
        <v>1525</v>
      </c>
      <c r="N402" s="14">
        <v>481.48</v>
      </c>
      <c r="O402" s="14">
        <v>4</v>
      </c>
      <c r="P402" s="14" t="s">
        <v>1548</v>
      </c>
      <c r="Q402" s="14" t="str">
        <f>_xlfn.IFS(Augmented_Data!$P402="FLAT8","8%",Augmented_Data!$P402="FLAT10","10%",Augmented_Data!$P402="FLAT15","15%",Augmented_Data!$P402="FLAT20","20%",Augmented_Data!$P402="DEL0","0 delivery charge")</f>
        <v>15%</v>
      </c>
      <c r="R402" s="14">
        <v>4</v>
      </c>
      <c r="S402" s="14" t="str">
        <f>_xlfn.IFS(Augmented_Data!U402-Augmented_Data!K402=Augmented_Data!$R402,"Intime",Augmented_Data!U402-Augmented_Data!K402&lt;Augmented_Data!R402,"Before Time",Augmented_Data!U402-Augmented_Data!K402&gt;Augmented_Data!R402,"Late")</f>
        <v>Before Time</v>
      </c>
      <c r="T402" s="14">
        <v>38</v>
      </c>
      <c r="U402" s="15">
        <v>45647</v>
      </c>
      <c r="V402" s="14">
        <f>DATEDIF(Augmented_Data!$K402,Augmented_Data!$U402,"D")</f>
        <v>1</v>
      </c>
      <c r="W402" s="14" t="s">
        <v>1700</v>
      </c>
      <c r="X402" s="14">
        <f>Augmented_Data!$Z402-Augmented_Data!$AA402</f>
        <v>294.58799999999997</v>
      </c>
      <c r="Y402" s="14">
        <f>Augmented_Data!$N402*Augmented_Data!$O402</f>
        <v>1925.92</v>
      </c>
      <c r="Z402" s="14">
        <f>Augmented_Data!$Y402+Augmented_Data!$T402</f>
        <v>1963.92</v>
      </c>
      <c r="AA402" s="16">
        <f>IF(Augmented_Data!Q402="0 delivery charge",Augmented_Data!Z402-Augmented_Data!T402,Augmented_Data!Z402*(1-Augmented_Data!Q402))</f>
        <v>1669.3320000000001</v>
      </c>
    </row>
    <row r="403" spans="1:27" x14ac:dyDescent="0.3">
      <c r="A403" s="11" t="s">
        <v>58</v>
      </c>
      <c r="B403" s="11" t="str">
        <f>_xlfn.CONCAT(Augmented_Data!$C403," ",Augmented_Data!$D403)</f>
        <v>Jason Lopez</v>
      </c>
      <c r="C403" s="11" t="s">
        <v>140</v>
      </c>
      <c r="D403" s="11" t="s">
        <v>239</v>
      </c>
      <c r="E403" s="11">
        <v>40</v>
      </c>
      <c r="F403" s="11" t="s">
        <v>290</v>
      </c>
      <c r="G403" s="11" t="s">
        <v>297</v>
      </c>
      <c r="H403" s="11" t="s">
        <v>339</v>
      </c>
      <c r="I403" s="11" t="s">
        <v>439</v>
      </c>
      <c r="J403" s="11" t="s">
        <v>900</v>
      </c>
      <c r="K403" s="12">
        <v>45033</v>
      </c>
      <c r="L403" s="11" t="s">
        <v>1400</v>
      </c>
      <c r="M403" s="11" t="s">
        <v>1541</v>
      </c>
      <c r="N403" s="11">
        <v>133.62</v>
      </c>
      <c r="O403" s="11">
        <v>1</v>
      </c>
      <c r="P403" s="11" t="s">
        <v>1548</v>
      </c>
      <c r="Q403" s="11" t="str">
        <f>_xlfn.IFS(Augmented_Data!$P403="FLAT8","8%",Augmented_Data!$P403="FLAT10","10%",Augmented_Data!$P403="FLAT15","15%",Augmented_Data!$P403="FLAT20","20%",Augmented_Data!$P403="DEL0","0 delivery charge")</f>
        <v>15%</v>
      </c>
      <c r="R403" s="11">
        <v>5</v>
      </c>
      <c r="S403" s="11" t="str">
        <f>_xlfn.IFS(Augmented_Data!U403-Augmented_Data!K403=Augmented_Data!$R403,"Intime",Augmented_Data!U403-Augmented_Data!K403&lt;Augmented_Data!R403,"Before Time",Augmented_Data!U403-Augmented_Data!K403&gt;Augmented_Data!R403,"Late")</f>
        <v>Before Time</v>
      </c>
      <c r="T403" s="11">
        <v>66</v>
      </c>
      <c r="U403" s="12">
        <v>45037</v>
      </c>
      <c r="V403" s="11">
        <f>DATEDIF(Augmented_Data!$K403,Augmented_Data!$U403,"D")</f>
        <v>4</v>
      </c>
      <c r="W403" s="11" t="s">
        <v>1949</v>
      </c>
      <c r="X403" s="11">
        <f>Augmented_Data!$Z403-Augmented_Data!$AA403</f>
        <v>29.943000000000012</v>
      </c>
      <c r="Y403" s="11">
        <f>Augmented_Data!$N403*Augmented_Data!$O403</f>
        <v>133.62</v>
      </c>
      <c r="Z403" s="11">
        <f>Augmented_Data!$Y403+Augmented_Data!$T403</f>
        <v>199.62</v>
      </c>
      <c r="AA403" s="13">
        <f>IF(Augmented_Data!Q403="0 delivery charge",Augmented_Data!Z403-Augmented_Data!T403,Augmented_Data!Z403*(1-Augmented_Data!Q403))</f>
        <v>169.67699999999999</v>
      </c>
    </row>
    <row r="404" spans="1:27" x14ac:dyDescent="0.3">
      <c r="A404" s="14" t="s">
        <v>101</v>
      </c>
      <c r="B404" s="14" t="str">
        <f>_xlfn.CONCAT(Augmented_Data!$C404," ",Augmented_Data!$D404)</f>
        <v>Regina Hawkins</v>
      </c>
      <c r="C404" s="14" t="s">
        <v>189</v>
      </c>
      <c r="D404" s="14" t="s">
        <v>275</v>
      </c>
      <c r="E404" s="14">
        <v>47</v>
      </c>
      <c r="F404" s="14" t="s">
        <v>289</v>
      </c>
      <c r="G404" s="14" t="s">
        <v>291</v>
      </c>
      <c r="H404" s="14" t="s">
        <v>382</v>
      </c>
      <c r="I404" s="14" t="s">
        <v>482</v>
      </c>
      <c r="J404" s="14" t="s">
        <v>672</v>
      </c>
      <c r="K404" s="15">
        <v>45327</v>
      </c>
      <c r="L404" s="14" t="s">
        <v>1172</v>
      </c>
      <c r="M404" s="14" t="s">
        <v>1534</v>
      </c>
      <c r="N404" s="14">
        <v>425.59</v>
      </c>
      <c r="O404" s="14">
        <v>3</v>
      </c>
      <c r="P404" s="14" t="s">
        <v>1549</v>
      </c>
      <c r="Q404" s="14" t="str">
        <f>_xlfn.IFS(Augmented_Data!$P404="FLAT8","8%",Augmented_Data!$P404="FLAT10","10%",Augmented_Data!$P404="FLAT15","15%",Augmented_Data!$P404="FLAT20","20%",Augmented_Data!$P404="DEL0","0 delivery charge")</f>
        <v>10%</v>
      </c>
      <c r="R404" s="14">
        <v>7</v>
      </c>
      <c r="S404" s="14" t="str">
        <f>_xlfn.IFS(Augmented_Data!U404-Augmented_Data!K404=Augmented_Data!$R404,"Intime",Augmented_Data!U404-Augmented_Data!K404&lt;Augmented_Data!R404,"Before Time",Augmented_Data!U404-Augmented_Data!K404&gt;Augmented_Data!R404,"Late")</f>
        <v>Before Time</v>
      </c>
      <c r="T404" s="14">
        <v>51</v>
      </c>
      <c r="U404" s="15">
        <v>45330</v>
      </c>
      <c r="V404" s="14">
        <f>DATEDIF(Augmented_Data!$K404,Augmented_Data!$U404,"D")</f>
        <v>3</v>
      </c>
      <c r="W404" s="14" t="s">
        <v>1724</v>
      </c>
      <c r="X404" s="14">
        <f>Augmented_Data!$Z404-Augmented_Data!$AA404</f>
        <v>132.77700000000004</v>
      </c>
      <c r="Y404" s="14">
        <f>Augmented_Data!$N404*Augmented_Data!$O404</f>
        <v>1276.77</v>
      </c>
      <c r="Z404" s="14">
        <f>Augmented_Data!$Y404+Augmented_Data!$T404</f>
        <v>1327.77</v>
      </c>
      <c r="AA404" s="16">
        <f>IF(Augmented_Data!Q404="0 delivery charge",Augmented_Data!Z404-Augmented_Data!T404,Augmented_Data!Z404*(1-Augmented_Data!Q404))</f>
        <v>1194.9929999999999</v>
      </c>
    </row>
    <row r="405" spans="1:27" x14ac:dyDescent="0.3">
      <c r="A405" s="11" t="s">
        <v>63</v>
      </c>
      <c r="B405" s="11" t="str">
        <f>_xlfn.CONCAT(Augmented_Data!$C405," ",Augmented_Data!$D405)</f>
        <v>Lauren Crane</v>
      </c>
      <c r="C405" s="11" t="s">
        <v>144</v>
      </c>
      <c r="D405" s="11" t="s">
        <v>244</v>
      </c>
      <c r="E405" s="11">
        <v>62</v>
      </c>
      <c r="F405" s="11" t="s">
        <v>289</v>
      </c>
      <c r="G405" s="11" t="s">
        <v>292</v>
      </c>
      <c r="H405" s="11" t="s">
        <v>344</v>
      </c>
      <c r="I405" s="11" t="s">
        <v>444</v>
      </c>
      <c r="J405" s="11" t="s">
        <v>782</v>
      </c>
      <c r="K405" s="12">
        <v>45517</v>
      </c>
      <c r="L405" s="11" t="s">
        <v>1282</v>
      </c>
      <c r="M405" s="11" t="s">
        <v>1535</v>
      </c>
      <c r="N405" s="11">
        <v>477.52</v>
      </c>
      <c r="O405" s="11">
        <v>5</v>
      </c>
      <c r="P405" s="11" t="s">
        <v>1550</v>
      </c>
      <c r="Q405" s="11" t="str">
        <f>_xlfn.IFS(Augmented_Data!$P405="FLAT8","8%",Augmented_Data!$P405="FLAT10","10%",Augmented_Data!$P405="FLAT15","15%",Augmented_Data!$P405="FLAT20","20%",Augmented_Data!$P405="DEL0","0 delivery charge")</f>
        <v>20%</v>
      </c>
      <c r="R405" s="11">
        <v>2</v>
      </c>
      <c r="S405" s="11" t="str">
        <f>_xlfn.IFS(Augmented_Data!U405-Augmented_Data!K405=Augmented_Data!$R405,"Intime",Augmented_Data!U405-Augmented_Data!K405&lt;Augmented_Data!R405,"Before Time",Augmented_Data!U405-Augmented_Data!K405&gt;Augmented_Data!R405,"Late")</f>
        <v>Late</v>
      </c>
      <c r="T405" s="11">
        <v>60</v>
      </c>
      <c r="U405" s="12">
        <v>45520</v>
      </c>
      <c r="V405" s="11">
        <f>DATEDIF(Augmented_Data!$K405,Augmented_Data!$U405,"D")</f>
        <v>3</v>
      </c>
      <c r="W405" s="11" t="s">
        <v>1833</v>
      </c>
      <c r="X405" s="11">
        <f>Augmented_Data!$Z405-Augmented_Data!$AA405</f>
        <v>489.52</v>
      </c>
      <c r="Y405" s="11">
        <f>Augmented_Data!$N405*Augmented_Data!$O405</f>
        <v>2387.6</v>
      </c>
      <c r="Z405" s="11">
        <f>Augmented_Data!$Y405+Augmented_Data!$T405</f>
        <v>2447.6</v>
      </c>
      <c r="AA405" s="13">
        <f>IF(Augmented_Data!Q405="0 delivery charge",Augmented_Data!Z405-Augmented_Data!T405,Augmented_Data!Z405*(1-Augmented_Data!Q405))</f>
        <v>1958.08</v>
      </c>
    </row>
    <row r="406" spans="1:27" x14ac:dyDescent="0.3">
      <c r="A406" s="14" t="s">
        <v>60</v>
      </c>
      <c r="B406" s="14" t="str">
        <f>_xlfn.CONCAT(Augmented_Data!$C406," ",Augmented_Data!$D406)</f>
        <v>Amanda Howard</v>
      </c>
      <c r="C406" s="14" t="s">
        <v>157</v>
      </c>
      <c r="D406" s="14" t="s">
        <v>241</v>
      </c>
      <c r="E406" s="14">
        <v>52</v>
      </c>
      <c r="F406" s="14" t="s">
        <v>290</v>
      </c>
      <c r="G406" s="14" t="s">
        <v>298</v>
      </c>
      <c r="H406" s="14" t="s">
        <v>341</v>
      </c>
      <c r="I406" s="14" t="s">
        <v>441</v>
      </c>
      <c r="J406" s="14" t="s">
        <v>903</v>
      </c>
      <c r="K406" s="15">
        <v>45471</v>
      </c>
      <c r="L406" s="14" t="s">
        <v>1403</v>
      </c>
      <c r="M406" s="14" t="s">
        <v>1517</v>
      </c>
      <c r="N406" s="14">
        <v>282.63</v>
      </c>
      <c r="O406" s="14">
        <v>3</v>
      </c>
      <c r="P406" s="14" t="s">
        <v>2047</v>
      </c>
      <c r="Q406" s="14" t="str">
        <f>_xlfn.IFS(Augmented_Data!$P406="FLAT8","8%",Augmented_Data!$P406="FLAT10","10%",Augmented_Data!$P406="FLAT15","15%",Augmented_Data!$P406="FLAT20","20%",Augmented_Data!$P406="DEL0","0 delivery charge")</f>
        <v>8%</v>
      </c>
      <c r="R406" s="14">
        <v>3</v>
      </c>
      <c r="S406" s="14" t="str">
        <f>_xlfn.IFS(Augmented_Data!U406-Augmented_Data!K406=Augmented_Data!$R406,"Intime",Augmented_Data!U406-Augmented_Data!K406&lt;Augmented_Data!R406,"Before Time",Augmented_Data!U406-Augmented_Data!K406&gt;Augmented_Data!R406,"Late")</f>
        <v>Late</v>
      </c>
      <c r="T406" s="14">
        <v>36</v>
      </c>
      <c r="U406" s="15">
        <v>45478</v>
      </c>
      <c r="V406" s="14">
        <f>DATEDIF(Augmented_Data!$K406,Augmented_Data!$U406,"D")</f>
        <v>7</v>
      </c>
      <c r="W406" s="14" t="s">
        <v>1952</v>
      </c>
      <c r="X406" s="14">
        <f>Augmented_Data!$Z406-Augmented_Data!$AA406</f>
        <v>70.711199999999963</v>
      </c>
      <c r="Y406" s="14">
        <f>Augmented_Data!$N406*Augmented_Data!$O406</f>
        <v>847.89</v>
      </c>
      <c r="Z406" s="14">
        <f>Augmented_Data!$Y406+Augmented_Data!$T406</f>
        <v>883.89</v>
      </c>
      <c r="AA406" s="16">
        <f>IF(Augmented_Data!Q406="0 delivery charge",Augmented_Data!Z406-Augmented_Data!T406,Augmented_Data!Z406*(1-Augmented_Data!Q406))</f>
        <v>813.17880000000002</v>
      </c>
    </row>
    <row r="407" spans="1:27" x14ac:dyDescent="0.3">
      <c r="A407" s="11" t="s">
        <v>61</v>
      </c>
      <c r="B407" s="11" t="str">
        <f>_xlfn.CONCAT(Augmented_Data!$C407," ",Augmented_Data!$D407)</f>
        <v>Mary Knight</v>
      </c>
      <c r="C407" s="11" t="s">
        <v>158</v>
      </c>
      <c r="D407" s="11" t="s">
        <v>242</v>
      </c>
      <c r="E407" s="11">
        <v>28</v>
      </c>
      <c r="F407" s="11" t="s">
        <v>290</v>
      </c>
      <c r="G407" s="11" t="s">
        <v>295</v>
      </c>
      <c r="H407" s="11" t="s">
        <v>342</v>
      </c>
      <c r="I407" s="11" t="s">
        <v>442</v>
      </c>
      <c r="J407" s="11" t="s">
        <v>904</v>
      </c>
      <c r="K407" s="12">
        <v>45350</v>
      </c>
      <c r="L407" s="11" t="s">
        <v>1404</v>
      </c>
      <c r="M407" s="11" t="s">
        <v>1524</v>
      </c>
      <c r="N407" s="11">
        <v>157.63999999999999</v>
      </c>
      <c r="O407" s="11">
        <v>1</v>
      </c>
      <c r="P407" s="11" t="s">
        <v>1550</v>
      </c>
      <c r="Q407" s="11" t="str">
        <f>_xlfn.IFS(Augmented_Data!$P407="FLAT8","8%",Augmented_Data!$P407="FLAT10","10%",Augmented_Data!$P407="FLAT15","15%",Augmented_Data!$P407="FLAT20","20%",Augmented_Data!$P407="DEL0","0 delivery charge")</f>
        <v>20%</v>
      </c>
      <c r="R407" s="11">
        <v>1</v>
      </c>
      <c r="S407" s="11" t="str">
        <f>_xlfn.IFS(Augmented_Data!U407-Augmented_Data!K407=Augmented_Data!$R407,"Intime",Augmented_Data!U407-Augmented_Data!K407&lt;Augmented_Data!R407,"Before Time",Augmented_Data!U407-Augmented_Data!K407&gt;Augmented_Data!R407,"Late")</f>
        <v>Late</v>
      </c>
      <c r="T407" s="11">
        <v>59</v>
      </c>
      <c r="U407" s="12">
        <v>45356</v>
      </c>
      <c r="V407" s="11">
        <f>DATEDIF(Augmented_Data!$K407,Augmented_Data!$U407,"D")</f>
        <v>6</v>
      </c>
      <c r="W407" s="11" t="s">
        <v>1953</v>
      </c>
      <c r="X407" s="11">
        <f>Augmented_Data!$Z407-Augmented_Data!$AA407</f>
        <v>43.327999999999975</v>
      </c>
      <c r="Y407" s="11">
        <f>Augmented_Data!$N407*Augmented_Data!$O407</f>
        <v>157.63999999999999</v>
      </c>
      <c r="Z407" s="11">
        <f>Augmented_Data!$Y407+Augmented_Data!$T407</f>
        <v>216.64</v>
      </c>
      <c r="AA407" s="13">
        <f>IF(Augmented_Data!Q407="0 delivery charge",Augmented_Data!Z407-Augmented_Data!T407,Augmented_Data!Z407*(1-Augmented_Data!Q407))</f>
        <v>173.31200000000001</v>
      </c>
    </row>
    <row r="408" spans="1:27" x14ac:dyDescent="0.3">
      <c r="A408" s="14" t="s">
        <v>98</v>
      </c>
      <c r="B408" s="14" t="str">
        <f>_xlfn.CONCAT(Augmented_Data!$C408," ",Augmented_Data!$D408)</f>
        <v>Katie Hicks</v>
      </c>
      <c r="C408" s="14" t="s">
        <v>187</v>
      </c>
      <c r="D408" s="14" t="s">
        <v>236</v>
      </c>
      <c r="E408" s="14">
        <v>34</v>
      </c>
      <c r="F408" s="14" t="s">
        <v>290</v>
      </c>
      <c r="G408" s="14" t="s">
        <v>293</v>
      </c>
      <c r="H408" s="14" t="s">
        <v>379</v>
      </c>
      <c r="I408" s="14" t="s">
        <v>479</v>
      </c>
      <c r="J408" s="14" t="s">
        <v>658</v>
      </c>
      <c r="K408" s="15">
        <v>45449</v>
      </c>
      <c r="L408" s="14" t="s">
        <v>1158</v>
      </c>
      <c r="M408" s="14" t="s">
        <v>1505</v>
      </c>
      <c r="N408" s="14">
        <v>48.45</v>
      </c>
      <c r="O408" s="14">
        <v>1</v>
      </c>
      <c r="P408" s="14" t="s">
        <v>1549</v>
      </c>
      <c r="Q408" s="14" t="str">
        <f>_xlfn.IFS(Augmented_Data!$P408="FLAT8","8%",Augmented_Data!$P408="FLAT10","10%",Augmented_Data!$P408="FLAT15","15%",Augmented_Data!$P408="FLAT20","20%",Augmented_Data!$P408="DEL0","0 delivery charge")</f>
        <v>10%</v>
      </c>
      <c r="R408" s="14">
        <v>5</v>
      </c>
      <c r="S408" s="14" t="str">
        <f>_xlfn.IFS(Augmented_Data!U408-Augmented_Data!K408=Augmented_Data!$R408,"Intime",Augmented_Data!U408-Augmented_Data!K408&lt;Augmented_Data!R408,"Before Time",Augmented_Data!U408-Augmented_Data!K408&gt;Augmented_Data!R408,"Late")</f>
        <v>Late</v>
      </c>
      <c r="T408" s="14">
        <v>38</v>
      </c>
      <c r="U408" s="15">
        <v>45456</v>
      </c>
      <c r="V408" s="14">
        <f>DATEDIF(Augmented_Data!$K408,Augmented_Data!$U408,"D")</f>
        <v>7</v>
      </c>
      <c r="W408" s="14" t="s">
        <v>1710</v>
      </c>
      <c r="X408" s="14">
        <f>Augmented_Data!$Z408-Augmented_Data!$AA408</f>
        <v>8.644999999999996</v>
      </c>
      <c r="Y408" s="14">
        <f>Augmented_Data!$N408*Augmented_Data!$O408</f>
        <v>48.45</v>
      </c>
      <c r="Z408" s="14">
        <f>Augmented_Data!$Y408+Augmented_Data!$T408</f>
        <v>86.45</v>
      </c>
      <c r="AA408" s="16">
        <f>IF(Augmented_Data!Q408="0 delivery charge",Augmented_Data!Z408-Augmented_Data!T408,Augmented_Data!Z408*(1-Augmented_Data!Q408))</f>
        <v>77.805000000000007</v>
      </c>
    </row>
    <row r="409" spans="1:27" x14ac:dyDescent="0.3">
      <c r="A409" s="11" t="s">
        <v>25</v>
      </c>
      <c r="B409" s="11" t="str">
        <f>_xlfn.CONCAT(Augmented_Data!$C409," ",Augmented_Data!$D409)</f>
        <v>David Delacruz</v>
      </c>
      <c r="C409" s="11" t="s">
        <v>125</v>
      </c>
      <c r="D409" s="11" t="s">
        <v>207</v>
      </c>
      <c r="E409" s="11">
        <v>26</v>
      </c>
      <c r="F409" s="11" t="s">
        <v>289</v>
      </c>
      <c r="G409" s="11" t="s">
        <v>296</v>
      </c>
      <c r="H409" s="11" t="s">
        <v>306</v>
      </c>
      <c r="I409" s="11" t="s">
        <v>406</v>
      </c>
      <c r="J409" s="11" t="s">
        <v>906</v>
      </c>
      <c r="K409" s="12">
        <v>45359</v>
      </c>
      <c r="L409" s="11" t="s">
        <v>1406</v>
      </c>
      <c r="M409" s="11" t="s">
        <v>1545</v>
      </c>
      <c r="N409" s="11">
        <v>292.14999999999998</v>
      </c>
      <c r="O409" s="11">
        <v>1</v>
      </c>
      <c r="P409" s="11" t="s">
        <v>1550</v>
      </c>
      <c r="Q409" s="11" t="str">
        <f>_xlfn.IFS(Augmented_Data!$P409="FLAT8","8%",Augmented_Data!$P409="FLAT10","10%",Augmented_Data!$P409="FLAT15","15%",Augmented_Data!$P409="FLAT20","20%",Augmented_Data!$P409="DEL0","0 delivery charge")</f>
        <v>20%</v>
      </c>
      <c r="R409" s="11">
        <v>5</v>
      </c>
      <c r="S409" s="11" t="str">
        <f>_xlfn.IFS(Augmented_Data!U409-Augmented_Data!K409=Augmented_Data!$R409,"Intime",Augmented_Data!U409-Augmented_Data!K409&lt;Augmented_Data!R409,"Before Time",Augmented_Data!U409-Augmented_Data!K409&gt;Augmented_Data!R409,"Late")</f>
        <v>Late</v>
      </c>
      <c r="T409" s="11">
        <v>57</v>
      </c>
      <c r="U409" s="12">
        <v>45365</v>
      </c>
      <c r="V409" s="11">
        <f>DATEDIF(Augmented_Data!$K409,Augmented_Data!$U409,"D")</f>
        <v>6</v>
      </c>
      <c r="W409" s="11" t="s">
        <v>1955</v>
      </c>
      <c r="X409" s="11">
        <f>Augmented_Data!$Z409-Augmented_Data!$AA409</f>
        <v>69.829999999999984</v>
      </c>
      <c r="Y409" s="11">
        <f>Augmented_Data!$N409*Augmented_Data!$O409</f>
        <v>292.14999999999998</v>
      </c>
      <c r="Z409" s="11">
        <f>Augmented_Data!$Y409+Augmented_Data!$T409</f>
        <v>349.15</v>
      </c>
      <c r="AA409" s="13">
        <f>IF(Augmented_Data!Q409="0 delivery charge",Augmented_Data!Z409-Augmented_Data!T409,Augmented_Data!Z409*(1-Augmented_Data!Q409))</f>
        <v>279.32</v>
      </c>
    </row>
    <row r="410" spans="1:27" x14ac:dyDescent="0.3">
      <c r="A410" s="14" t="s">
        <v>114</v>
      </c>
      <c r="B410" s="14" t="str">
        <f>_xlfn.CONCAT(Augmented_Data!$C410," ",Augmented_Data!$D410)</f>
        <v>Rachel Lopez</v>
      </c>
      <c r="C410" s="14" t="s">
        <v>197</v>
      </c>
      <c r="D410" s="14" t="s">
        <v>239</v>
      </c>
      <c r="E410" s="14">
        <v>57</v>
      </c>
      <c r="F410" s="14" t="s">
        <v>289</v>
      </c>
      <c r="G410" s="14" t="s">
        <v>296</v>
      </c>
      <c r="H410" s="14" t="s">
        <v>395</v>
      </c>
      <c r="I410" s="14" t="s">
        <v>495</v>
      </c>
      <c r="J410" s="14" t="s">
        <v>907</v>
      </c>
      <c r="K410" s="15">
        <v>45333</v>
      </c>
      <c r="L410" s="14" t="s">
        <v>1407</v>
      </c>
      <c r="M410" s="14" t="s">
        <v>1542</v>
      </c>
      <c r="N410" s="14">
        <v>20</v>
      </c>
      <c r="O410" s="14">
        <v>4</v>
      </c>
      <c r="P410" s="14" t="s">
        <v>1550</v>
      </c>
      <c r="Q410" s="14" t="str">
        <f>_xlfn.IFS(Augmented_Data!$P410="FLAT8","8%",Augmented_Data!$P410="FLAT10","10%",Augmented_Data!$P410="FLAT15","15%",Augmented_Data!$P410="FLAT20","20%",Augmented_Data!$P410="DEL0","0 delivery charge")</f>
        <v>20%</v>
      </c>
      <c r="R410" s="14">
        <v>1</v>
      </c>
      <c r="S410" s="14" t="str">
        <f>_xlfn.IFS(Augmented_Data!U410-Augmented_Data!K410=Augmented_Data!$R410,"Intime",Augmented_Data!U410-Augmented_Data!K410&lt;Augmented_Data!R410,"Before Time",Augmented_Data!U410-Augmented_Data!K410&gt;Augmented_Data!R410,"Late")</f>
        <v>Intime</v>
      </c>
      <c r="T410" s="14">
        <v>51</v>
      </c>
      <c r="U410" s="15">
        <v>45334</v>
      </c>
      <c r="V410" s="14">
        <f>DATEDIF(Augmented_Data!$K410,Augmented_Data!$U410,"D")</f>
        <v>1</v>
      </c>
      <c r="W410" s="14" t="s">
        <v>1956</v>
      </c>
      <c r="X410" s="14">
        <f>Augmented_Data!$Z410-Augmented_Data!$AA410</f>
        <v>26.199999999999989</v>
      </c>
      <c r="Y410" s="14">
        <f>Augmented_Data!$N410*Augmented_Data!$O410</f>
        <v>80</v>
      </c>
      <c r="Z410" s="14">
        <f>Augmented_Data!$Y410+Augmented_Data!$T410</f>
        <v>131</v>
      </c>
      <c r="AA410" s="16">
        <f>IF(Augmented_Data!Q410="0 delivery charge",Augmented_Data!Z410-Augmented_Data!T410,Augmented_Data!Z410*(1-Augmented_Data!Q410))</f>
        <v>104.80000000000001</v>
      </c>
    </row>
    <row r="411" spans="1:27" x14ac:dyDescent="0.3">
      <c r="A411" s="11" t="s">
        <v>99</v>
      </c>
      <c r="B411" s="11" t="str">
        <f>_xlfn.CONCAT(Augmented_Data!$C411," ",Augmented_Data!$D411)</f>
        <v>Amy Griffin</v>
      </c>
      <c r="C411" s="11" t="s">
        <v>131</v>
      </c>
      <c r="D411" s="11" t="s">
        <v>273</v>
      </c>
      <c r="E411" s="11">
        <v>29</v>
      </c>
      <c r="F411" s="11" t="s">
        <v>288</v>
      </c>
      <c r="G411" s="11" t="s">
        <v>292</v>
      </c>
      <c r="H411" s="11" t="s">
        <v>380</v>
      </c>
      <c r="I411" s="11" t="s">
        <v>480</v>
      </c>
      <c r="J411" s="11" t="s">
        <v>908</v>
      </c>
      <c r="K411" s="12">
        <v>45681</v>
      </c>
      <c r="L411" s="11" t="s">
        <v>1408</v>
      </c>
      <c r="M411" s="11" t="s">
        <v>1505</v>
      </c>
      <c r="N411" s="11">
        <v>48.45</v>
      </c>
      <c r="O411" s="11">
        <v>2</v>
      </c>
      <c r="P411" s="11" t="s">
        <v>1548</v>
      </c>
      <c r="Q411" s="11" t="str">
        <f>_xlfn.IFS(Augmented_Data!$P411="FLAT8","8%",Augmented_Data!$P411="FLAT10","10%",Augmented_Data!$P411="FLAT15","15%",Augmented_Data!$P411="FLAT20","20%",Augmented_Data!$P411="DEL0","0 delivery charge")</f>
        <v>15%</v>
      </c>
      <c r="R411" s="11">
        <v>7</v>
      </c>
      <c r="S411" s="11" t="str">
        <f>_xlfn.IFS(Augmented_Data!U411-Augmented_Data!K411=Augmented_Data!$R411,"Intime",Augmented_Data!U411-Augmented_Data!K411&lt;Augmented_Data!R411,"Before Time",Augmented_Data!U411-Augmented_Data!K411&gt;Augmented_Data!R411,"Late")</f>
        <v>Before Time</v>
      </c>
      <c r="T411" s="11">
        <v>56</v>
      </c>
      <c r="U411" s="12">
        <v>45687</v>
      </c>
      <c r="V411" s="11">
        <f>DATEDIF(Augmented_Data!$K411,Augmented_Data!$U411,"D")</f>
        <v>6</v>
      </c>
      <c r="W411" s="11" t="s">
        <v>1957</v>
      </c>
      <c r="X411" s="11">
        <f>Augmented_Data!$Z411-Augmented_Data!$AA411</f>
        <v>22.935000000000002</v>
      </c>
      <c r="Y411" s="11">
        <f>Augmented_Data!$N411*Augmented_Data!$O411</f>
        <v>96.9</v>
      </c>
      <c r="Z411" s="11">
        <f>Augmented_Data!$Y411+Augmented_Data!$T411</f>
        <v>152.9</v>
      </c>
      <c r="AA411" s="13">
        <f>IF(Augmented_Data!Q411="0 delivery charge",Augmented_Data!Z411-Augmented_Data!T411,Augmented_Data!Z411*(1-Augmented_Data!Q411))</f>
        <v>129.965</v>
      </c>
    </row>
    <row r="412" spans="1:27" x14ac:dyDescent="0.3">
      <c r="A412" s="14" t="s">
        <v>81</v>
      </c>
      <c r="B412" s="14" t="str">
        <f>_xlfn.CONCAT(Augmented_Data!$C412," ",Augmented_Data!$D412)</f>
        <v>Beth Mason</v>
      </c>
      <c r="C412" s="14" t="s">
        <v>171</v>
      </c>
      <c r="D412" s="14" t="s">
        <v>258</v>
      </c>
      <c r="E412" s="14">
        <v>45</v>
      </c>
      <c r="F412" s="14" t="s">
        <v>290</v>
      </c>
      <c r="G412" s="14" t="s">
        <v>296</v>
      </c>
      <c r="H412" s="14" t="s">
        <v>362</v>
      </c>
      <c r="I412" s="14" t="s">
        <v>462</v>
      </c>
      <c r="J412" s="14" t="s">
        <v>909</v>
      </c>
      <c r="K412" s="15">
        <v>45190</v>
      </c>
      <c r="L412" s="14" t="s">
        <v>1409</v>
      </c>
      <c r="M412" s="14" t="s">
        <v>1516</v>
      </c>
      <c r="N412" s="14">
        <v>126.19</v>
      </c>
      <c r="O412" s="14">
        <v>2</v>
      </c>
      <c r="P412" s="14" t="s">
        <v>1550</v>
      </c>
      <c r="Q412" s="14" t="str">
        <f>_xlfn.IFS(Augmented_Data!$P412="FLAT8","8%",Augmented_Data!$P412="FLAT10","10%",Augmented_Data!$P412="FLAT15","15%",Augmented_Data!$P412="FLAT20","20%",Augmented_Data!$P412="DEL0","0 delivery charge")</f>
        <v>20%</v>
      </c>
      <c r="R412" s="14">
        <v>4</v>
      </c>
      <c r="S412" s="14" t="str">
        <f>_xlfn.IFS(Augmented_Data!U412-Augmented_Data!K412=Augmented_Data!$R412,"Intime",Augmented_Data!U412-Augmented_Data!K412&lt;Augmented_Data!R412,"Before Time",Augmented_Data!U412-Augmented_Data!K412&gt;Augmented_Data!R412,"Late")</f>
        <v>Late</v>
      </c>
      <c r="T412" s="14">
        <v>67</v>
      </c>
      <c r="U412" s="15">
        <v>45196</v>
      </c>
      <c r="V412" s="14">
        <f>DATEDIF(Augmented_Data!$K412,Augmented_Data!$U412,"D")</f>
        <v>6</v>
      </c>
      <c r="W412" s="14" t="s">
        <v>1958</v>
      </c>
      <c r="X412" s="14">
        <f>Augmented_Data!$Z412-Augmented_Data!$AA412</f>
        <v>63.875999999999976</v>
      </c>
      <c r="Y412" s="14">
        <f>Augmented_Data!$N412*Augmented_Data!$O412</f>
        <v>252.38</v>
      </c>
      <c r="Z412" s="14">
        <f>Augmented_Data!$Y412+Augmented_Data!$T412</f>
        <v>319.38</v>
      </c>
      <c r="AA412" s="16">
        <f>IF(Augmented_Data!Q412="0 delivery charge",Augmented_Data!Z412-Augmented_Data!T412,Augmented_Data!Z412*(1-Augmented_Data!Q412))</f>
        <v>255.50400000000002</v>
      </c>
    </row>
    <row r="413" spans="1:27" x14ac:dyDescent="0.3">
      <c r="A413" s="11" t="s">
        <v>72</v>
      </c>
      <c r="B413" s="11" t="str">
        <f>_xlfn.CONCAT(Augmented_Data!$C413," ",Augmented_Data!$D413)</f>
        <v>Lauren Lane</v>
      </c>
      <c r="C413" s="11" t="s">
        <v>144</v>
      </c>
      <c r="D413" s="11" t="s">
        <v>250</v>
      </c>
      <c r="E413" s="11">
        <v>30</v>
      </c>
      <c r="F413" s="11" t="s">
        <v>288</v>
      </c>
      <c r="G413" s="11" t="s">
        <v>298</v>
      </c>
      <c r="H413" s="11" t="s">
        <v>353</v>
      </c>
      <c r="I413" s="11" t="s">
        <v>453</v>
      </c>
      <c r="J413" s="11" t="s">
        <v>845</v>
      </c>
      <c r="K413" s="12">
        <v>45393</v>
      </c>
      <c r="L413" s="11" t="s">
        <v>1345</v>
      </c>
      <c r="M413" s="11" t="s">
        <v>1516</v>
      </c>
      <c r="N413" s="11">
        <v>126.19</v>
      </c>
      <c r="O413" s="11">
        <v>4</v>
      </c>
      <c r="P413" s="11" t="s">
        <v>2047</v>
      </c>
      <c r="Q413" s="11" t="str">
        <f>_xlfn.IFS(Augmented_Data!$P413="FLAT8","8%",Augmented_Data!$P413="FLAT10","10%",Augmented_Data!$P413="FLAT15","15%",Augmented_Data!$P413="FLAT20","20%",Augmented_Data!$P413="DEL0","0 delivery charge")</f>
        <v>8%</v>
      </c>
      <c r="R413" s="11">
        <v>5</v>
      </c>
      <c r="S413" s="11" t="str">
        <f>_xlfn.IFS(Augmented_Data!U413-Augmented_Data!K413=Augmented_Data!$R413,"Intime",Augmented_Data!U413-Augmented_Data!K413&lt;Augmented_Data!R413,"Before Time",Augmented_Data!U413-Augmented_Data!K413&gt;Augmented_Data!R413,"Late")</f>
        <v>Before Time</v>
      </c>
      <c r="T413" s="11">
        <v>69</v>
      </c>
      <c r="U413" s="12">
        <v>45396</v>
      </c>
      <c r="V413" s="11">
        <f>DATEDIF(Augmented_Data!$K413,Augmented_Data!$U413,"D")</f>
        <v>3</v>
      </c>
      <c r="W413" s="11" t="s">
        <v>1896</v>
      </c>
      <c r="X413" s="11">
        <f>Augmented_Data!$Z413-Augmented_Data!$AA413</f>
        <v>45.900800000000004</v>
      </c>
      <c r="Y413" s="11">
        <f>Augmented_Data!$N413*Augmented_Data!$O413</f>
        <v>504.76</v>
      </c>
      <c r="Z413" s="11">
        <f>Augmented_Data!$Y413+Augmented_Data!$T413</f>
        <v>573.76</v>
      </c>
      <c r="AA413" s="13">
        <f>IF(Augmented_Data!Q413="0 delivery charge",Augmented_Data!Z413-Augmented_Data!T413,Augmented_Data!Z413*(1-Augmented_Data!Q413))</f>
        <v>527.85919999999999</v>
      </c>
    </row>
    <row r="414" spans="1:27" x14ac:dyDescent="0.3">
      <c r="A414" s="14" t="s">
        <v>48</v>
      </c>
      <c r="B414" s="14" t="str">
        <f>_xlfn.CONCAT(Augmented_Data!$C414," ",Augmented_Data!$D414)</f>
        <v>Heather Schneider</v>
      </c>
      <c r="C414" s="14" t="s">
        <v>146</v>
      </c>
      <c r="D414" s="14" t="s">
        <v>229</v>
      </c>
      <c r="E414" s="14">
        <v>48</v>
      </c>
      <c r="F414" s="14" t="s">
        <v>289</v>
      </c>
      <c r="G414" s="14" t="s">
        <v>296</v>
      </c>
      <c r="H414" s="14" t="s">
        <v>329</v>
      </c>
      <c r="I414" s="14" t="s">
        <v>429</v>
      </c>
      <c r="J414" s="14" t="s">
        <v>911</v>
      </c>
      <c r="K414" s="15">
        <v>45399</v>
      </c>
      <c r="L414" s="14" t="s">
        <v>1411</v>
      </c>
      <c r="M414" s="14" t="s">
        <v>1518</v>
      </c>
      <c r="N414" s="14">
        <v>496.59</v>
      </c>
      <c r="O414" s="14">
        <v>3</v>
      </c>
      <c r="P414" s="14" t="s">
        <v>1547</v>
      </c>
      <c r="Q414" s="14" t="str">
        <f>_xlfn.IFS(Augmented_Data!$P414="FLAT8","8%",Augmented_Data!$P414="FLAT10","10%",Augmented_Data!$P414="FLAT15","15%",Augmented_Data!$P414="FLAT20","20%",Augmented_Data!$P414="DEL0","0 delivery charge")</f>
        <v>0 delivery charge</v>
      </c>
      <c r="R414" s="14">
        <v>3</v>
      </c>
      <c r="S414" s="14" t="str">
        <f>_xlfn.IFS(Augmented_Data!U414-Augmented_Data!K414=Augmented_Data!$R414,"Intime",Augmented_Data!U414-Augmented_Data!K414&lt;Augmented_Data!R414,"Before Time",Augmented_Data!U414-Augmented_Data!K414&gt;Augmented_Data!R414,"Late")</f>
        <v>Late</v>
      </c>
      <c r="T414" s="14">
        <v>49</v>
      </c>
      <c r="U414" s="15">
        <v>45406</v>
      </c>
      <c r="V414" s="14">
        <f>DATEDIF(Augmented_Data!$K414,Augmented_Data!$U414,"D")</f>
        <v>7</v>
      </c>
      <c r="W414" s="14" t="s">
        <v>1960</v>
      </c>
      <c r="X414" s="14">
        <f>Augmented_Data!$Z414-Augmented_Data!$AA414</f>
        <v>49</v>
      </c>
      <c r="Y414" s="14">
        <f>Augmented_Data!$N414*Augmented_Data!$O414</f>
        <v>1489.77</v>
      </c>
      <c r="Z414" s="14">
        <f>Augmented_Data!$Y414+Augmented_Data!$T414</f>
        <v>1538.77</v>
      </c>
      <c r="AA414" s="16">
        <f>IF(Augmented_Data!Q414="0 delivery charge",Augmented_Data!Z414-Augmented_Data!T414,Augmented_Data!Z414*(1-Augmented_Data!Q414))</f>
        <v>1489.77</v>
      </c>
    </row>
    <row r="415" spans="1:27" x14ac:dyDescent="0.3">
      <c r="A415" s="11" t="s">
        <v>53</v>
      </c>
      <c r="B415" s="11" t="str">
        <f>_xlfn.CONCAT(Augmented_Data!$C415," ",Augmented_Data!$D415)</f>
        <v>Donna Oneill</v>
      </c>
      <c r="C415" s="11" t="s">
        <v>151</v>
      </c>
      <c r="D415" s="11" t="s">
        <v>234</v>
      </c>
      <c r="E415" s="11">
        <v>70</v>
      </c>
      <c r="F415" s="11" t="s">
        <v>288</v>
      </c>
      <c r="G415" s="11" t="s">
        <v>297</v>
      </c>
      <c r="H415" s="11" t="s">
        <v>334</v>
      </c>
      <c r="I415" s="11" t="s">
        <v>434</v>
      </c>
      <c r="J415" s="11" t="s">
        <v>912</v>
      </c>
      <c r="K415" s="12">
        <v>45396</v>
      </c>
      <c r="L415" s="11" t="s">
        <v>1412</v>
      </c>
      <c r="M415" s="11" t="s">
        <v>1540</v>
      </c>
      <c r="N415" s="11">
        <v>424.82</v>
      </c>
      <c r="O415" s="11">
        <v>4</v>
      </c>
      <c r="P415" s="11" t="s">
        <v>1548</v>
      </c>
      <c r="Q415" s="11" t="str">
        <f>_xlfn.IFS(Augmented_Data!$P415="FLAT8","8%",Augmented_Data!$P415="FLAT10","10%",Augmented_Data!$P415="FLAT15","15%",Augmented_Data!$P415="FLAT20","20%",Augmented_Data!$P415="DEL0","0 delivery charge")</f>
        <v>15%</v>
      </c>
      <c r="R415" s="11">
        <v>1</v>
      </c>
      <c r="S415" s="11" t="str">
        <f>_xlfn.IFS(Augmented_Data!U415-Augmented_Data!K415=Augmented_Data!$R415,"Intime",Augmented_Data!U415-Augmented_Data!K415&lt;Augmented_Data!R415,"Before Time",Augmented_Data!U415-Augmented_Data!K415&gt;Augmented_Data!R415,"Late")</f>
        <v>Late</v>
      </c>
      <c r="T415" s="11">
        <v>70</v>
      </c>
      <c r="U415" s="12">
        <v>45402</v>
      </c>
      <c r="V415" s="11">
        <f>DATEDIF(Augmented_Data!$K415,Augmented_Data!$U415,"D")</f>
        <v>6</v>
      </c>
      <c r="W415" s="11" t="s">
        <v>1961</v>
      </c>
      <c r="X415" s="11">
        <f>Augmented_Data!$Z415-Augmented_Data!$AA415</f>
        <v>265.39200000000005</v>
      </c>
      <c r="Y415" s="11">
        <f>Augmented_Data!$N415*Augmented_Data!$O415</f>
        <v>1699.28</v>
      </c>
      <c r="Z415" s="11">
        <f>Augmented_Data!$Y415+Augmented_Data!$T415</f>
        <v>1769.28</v>
      </c>
      <c r="AA415" s="13">
        <f>IF(Augmented_Data!Q415="0 delivery charge",Augmented_Data!Z415-Augmented_Data!T415,Augmented_Data!Z415*(1-Augmented_Data!Q415))</f>
        <v>1503.8879999999999</v>
      </c>
    </row>
    <row r="416" spans="1:27" x14ac:dyDescent="0.3">
      <c r="A416" s="14" t="s">
        <v>34</v>
      </c>
      <c r="B416" s="14" t="str">
        <f>_xlfn.CONCAT(Augmented_Data!$C416," ",Augmented_Data!$D416)</f>
        <v>Gina Moreno</v>
      </c>
      <c r="C416" s="14" t="s">
        <v>134</v>
      </c>
      <c r="D416" s="14" t="s">
        <v>216</v>
      </c>
      <c r="E416" s="14">
        <v>36</v>
      </c>
      <c r="F416" s="14" t="s">
        <v>290</v>
      </c>
      <c r="G416" s="14" t="s">
        <v>294</v>
      </c>
      <c r="H416" s="14" t="s">
        <v>315</v>
      </c>
      <c r="I416" s="14" t="s">
        <v>415</v>
      </c>
      <c r="J416" s="14" t="s">
        <v>913</v>
      </c>
      <c r="K416" s="15">
        <v>45194</v>
      </c>
      <c r="L416" s="14" t="s">
        <v>1413</v>
      </c>
      <c r="M416" s="14" t="s">
        <v>1542</v>
      </c>
      <c r="N416" s="14">
        <v>20</v>
      </c>
      <c r="O416" s="14">
        <v>2</v>
      </c>
      <c r="P416" s="14" t="s">
        <v>1549</v>
      </c>
      <c r="Q416" s="14" t="str">
        <f>_xlfn.IFS(Augmented_Data!$P416="FLAT8","8%",Augmented_Data!$P416="FLAT10","10%",Augmented_Data!$P416="FLAT15","15%",Augmented_Data!$P416="FLAT20","20%",Augmented_Data!$P416="DEL0","0 delivery charge")</f>
        <v>10%</v>
      </c>
      <c r="R416" s="14">
        <v>1</v>
      </c>
      <c r="S416" s="14" t="str">
        <f>_xlfn.IFS(Augmented_Data!U416-Augmented_Data!K416=Augmented_Data!$R416,"Intime",Augmented_Data!U416-Augmented_Data!K416&lt;Augmented_Data!R416,"Before Time",Augmented_Data!U416-Augmented_Data!K416&gt;Augmented_Data!R416,"Late")</f>
        <v>Intime</v>
      </c>
      <c r="T416" s="14">
        <v>68</v>
      </c>
      <c r="U416" s="15">
        <v>45195</v>
      </c>
      <c r="V416" s="14">
        <f>DATEDIF(Augmented_Data!$K416,Augmented_Data!$U416,"D")</f>
        <v>1</v>
      </c>
      <c r="W416" s="14" t="s">
        <v>1962</v>
      </c>
      <c r="X416" s="14">
        <f>Augmented_Data!$Z416-Augmented_Data!$AA416</f>
        <v>10.799999999999997</v>
      </c>
      <c r="Y416" s="14">
        <f>Augmented_Data!$N416*Augmented_Data!$O416</f>
        <v>40</v>
      </c>
      <c r="Z416" s="14">
        <f>Augmented_Data!$Y416+Augmented_Data!$T416</f>
        <v>108</v>
      </c>
      <c r="AA416" s="16">
        <f>IF(Augmented_Data!Q416="0 delivery charge",Augmented_Data!Z416-Augmented_Data!T416,Augmented_Data!Z416*(1-Augmented_Data!Q416))</f>
        <v>97.2</v>
      </c>
    </row>
    <row r="417" spans="1:27" x14ac:dyDescent="0.3">
      <c r="A417" s="11" t="s">
        <v>101</v>
      </c>
      <c r="B417" s="11" t="str">
        <f>_xlfn.CONCAT(Augmented_Data!$C417," ",Augmented_Data!$D417)</f>
        <v>Regina Hawkins</v>
      </c>
      <c r="C417" s="11" t="s">
        <v>189</v>
      </c>
      <c r="D417" s="11" t="s">
        <v>275</v>
      </c>
      <c r="E417" s="11">
        <v>47</v>
      </c>
      <c r="F417" s="11" t="s">
        <v>289</v>
      </c>
      <c r="G417" s="11" t="s">
        <v>291</v>
      </c>
      <c r="H417" s="11" t="s">
        <v>382</v>
      </c>
      <c r="I417" s="11" t="s">
        <v>482</v>
      </c>
      <c r="J417" s="11" t="s">
        <v>745</v>
      </c>
      <c r="K417" s="12">
        <v>45216</v>
      </c>
      <c r="L417" s="11" t="s">
        <v>1245</v>
      </c>
      <c r="M417" s="11" t="s">
        <v>1502</v>
      </c>
      <c r="N417" s="11">
        <v>202.54</v>
      </c>
      <c r="O417" s="11">
        <v>5</v>
      </c>
      <c r="P417" s="11" t="s">
        <v>1549</v>
      </c>
      <c r="Q417" s="11" t="str">
        <f>_xlfn.IFS(Augmented_Data!$P417="FLAT8","8%",Augmented_Data!$P417="FLAT10","10%",Augmented_Data!$P417="FLAT15","15%",Augmented_Data!$P417="FLAT20","20%",Augmented_Data!$P417="DEL0","0 delivery charge")</f>
        <v>10%</v>
      </c>
      <c r="R417" s="11">
        <v>4</v>
      </c>
      <c r="S417" s="11" t="str">
        <f>_xlfn.IFS(Augmented_Data!U417-Augmented_Data!K417=Augmented_Data!$R417,"Intime",Augmented_Data!U417-Augmented_Data!K417&lt;Augmented_Data!R417,"Before Time",Augmented_Data!U417-Augmented_Data!K417&gt;Augmented_Data!R417,"Late")</f>
        <v>Before Time</v>
      </c>
      <c r="T417" s="11">
        <v>58</v>
      </c>
      <c r="U417" s="12">
        <v>45218</v>
      </c>
      <c r="V417" s="11">
        <f>DATEDIF(Augmented_Data!$K417,Augmented_Data!$U417,"D")</f>
        <v>2</v>
      </c>
      <c r="W417" s="11" t="s">
        <v>1796</v>
      </c>
      <c r="X417" s="11">
        <f>Augmented_Data!$Z417-Augmented_Data!$AA417</f>
        <v>107.06999999999994</v>
      </c>
      <c r="Y417" s="11">
        <f>Augmented_Data!$N417*Augmented_Data!$O417</f>
        <v>1012.6999999999999</v>
      </c>
      <c r="Z417" s="11">
        <f>Augmented_Data!$Y417+Augmented_Data!$T417</f>
        <v>1070.6999999999998</v>
      </c>
      <c r="AA417" s="13">
        <f>IF(Augmented_Data!Q417="0 delivery charge",Augmented_Data!Z417-Augmented_Data!T417,Augmented_Data!Z417*(1-Augmented_Data!Q417))</f>
        <v>963.62999999999988</v>
      </c>
    </row>
    <row r="418" spans="1:27" x14ac:dyDescent="0.3">
      <c r="A418" s="14" t="s">
        <v>34</v>
      </c>
      <c r="B418" s="14" t="str">
        <f>_xlfn.CONCAT(Augmented_Data!$C418," ",Augmented_Data!$D418)</f>
        <v>Gina Moreno</v>
      </c>
      <c r="C418" s="14" t="s">
        <v>134</v>
      </c>
      <c r="D418" s="14" t="s">
        <v>216</v>
      </c>
      <c r="E418" s="14">
        <v>36</v>
      </c>
      <c r="F418" s="14" t="s">
        <v>290</v>
      </c>
      <c r="G418" s="14" t="s">
        <v>294</v>
      </c>
      <c r="H418" s="14" t="s">
        <v>315</v>
      </c>
      <c r="I418" s="14" t="s">
        <v>415</v>
      </c>
      <c r="J418" s="14" t="s">
        <v>915</v>
      </c>
      <c r="K418" s="15">
        <v>45368</v>
      </c>
      <c r="L418" s="14" t="s">
        <v>1415</v>
      </c>
      <c r="M418" s="14" t="s">
        <v>1533</v>
      </c>
      <c r="N418" s="14">
        <v>136.30000000000001</v>
      </c>
      <c r="O418" s="14">
        <v>4</v>
      </c>
      <c r="P418" s="14" t="s">
        <v>2047</v>
      </c>
      <c r="Q418" s="14" t="str">
        <f>_xlfn.IFS(Augmented_Data!$P418="FLAT8","8%",Augmented_Data!$P418="FLAT10","10%",Augmented_Data!$P418="FLAT15","15%",Augmented_Data!$P418="FLAT20","20%",Augmented_Data!$P418="DEL0","0 delivery charge")</f>
        <v>8%</v>
      </c>
      <c r="R418" s="14">
        <v>6</v>
      </c>
      <c r="S418" s="14" t="str">
        <f>_xlfn.IFS(Augmented_Data!U418-Augmented_Data!K418=Augmented_Data!$R418,"Intime",Augmented_Data!U418-Augmented_Data!K418&lt;Augmented_Data!R418,"Before Time",Augmented_Data!U418-Augmented_Data!K418&gt;Augmented_Data!R418,"Late")</f>
        <v>Before Time</v>
      </c>
      <c r="T418" s="14">
        <v>52</v>
      </c>
      <c r="U418" s="15">
        <v>45371</v>
      </c>
      <c r="V418" s="14">
        <f>DATEDIF(Augmented_Data!$K418,Augmented_Data!$U418,"D")</f>
        <v>3</v>
      </c>
      <c r="W418" s="14" t="s">
        <v>1963</v>
      </c>
      <c r="X418" s="14">
        <f>Augmented_Data!$Z418-Augmented_Data!$AA418</f>
        <v>47.775999999999954</v>
      </c>
      <c r="Y418" s="14">
        <f>Augmented_Data!$N418*Augmented_Data!$O418</f>
        <v>545.20000000000005</v>
      </c>
      <c r="Z418" s="14">
        <f>Augmented_Data!$Y418+Augmented_Data!$T418</f>
        <v>597.20000000000005</v>
      </c>
      <c r="AA418" s="16">
        <f>IF(Augmented_Data!Q418="0 delivery charge",Augmented_Data!Z418-Augmented_Data!T418,Augmented_Data!Z418*(1-Augmented_Data!Q418))</f>
        <v>549.42400000000009</v>
      </c>
    </row>
    <row r="419" spans="1:27" x14ac:dyDescent="0.3">
      <c r="A419" s="11" t="s">
        <v>27</v>
      </c>
      <c r="B419" s="11" t="str">
        <f>_xlfn.CONCAT(Augmented_Data!$C419," ",Augmented_Data!$D419)</f>
        <v>Debra Rodriguez</v>
      </c>
      <c r="C419" s="11" t="s">
        <v>127</v>
      </c>
      <c r="D419" s="11" t="s">
        <v>209</v>
      </c>
      <c r="E419" s="11">
        <v>48</v>
      </c>
      <c r="F419" s="11" t="s">
        <v>290</v>
      </c>
      <c r="G419" s="11" t="s">
        <v>292</v>
      </c>
      <c r="H419" s="11" t="s">
        <v>308</v>
      </c>
      <c r="I419" s="11" t="s">
        <v>408</v>
      </c>
      <c r="J419" s="11" t="s">
        <v>916</v>
      </c>
      <c r="K419" s="12">
        <v>45661</v>
      </c>
      <c r="L419" s="11" t="s">
        <v>1181</v>
      </c>
      <c r="M419" s="11" t="s">
        <v>1524</v>
      </c>
      <c r="N419" s="11">
        <v>157.63999999999999</v>
      </c>
      <c r="O419" s="11">
        <v>4</v>
      </c>
      <c r="P419" s="11" t="s">
        <v>1547</v>
      </c>
      <c r="Q419" s="11" t="str">
        <f>_xlfn.IFS(Augmented_Data!$P419="FLAT8","8%",Augmented_Data!$P419="FLAT10","10%",Augmented_Data!$P419="FLAT15","15%",Augmented_Data!$P419="FLAT20","20%",Augmented_Data!$P419="DEL0","0 delivery charge")</f>
        <v>0 delivery charge</v>
      </c>
      <c r="R419" s="11">
        <v>7</v>
      </c>
      <c r="S419" s="11" t="str">
        <f>_xlfn.IFS(Augmented_Data!U419-Augmented_Data!K419=Augmented_Data!$R419,"Intime",Augmented_Data!U419-Augmented_Data!K419&lt;Augmented_Data!R419,"Before Time",Augmented_Data!U419-Augmented_Data!K419&gt;Augmented_Data!R419,"Late")</f>
        <v>Before Time</v>
      </c>
      <c r="T419" s="11">
        <v>42</v>
      </c>
      <c r="U419" s="12">
        <v>45663</v>
      </c>
      <c r="V419" s="11">
        <f>DATEDIF(Augmented_Data!$K419,Augmented_Data!$U419,"D")</f>
        <v>2</v>
      </c>
      <c r="W419" s="11" t="s">
        <v>1964</v>
      </c>
      <c r="X419" s="11">
        <f>Augmented_Data!$Z419-Augmented_Data!$AA419</f>
        <v>42</v>
      </c>
      <c r="Y419" s="11">
        <f>Augmented_Data!$N419*Augmented_Data!$O419</f>
        <v>630.55999999999995</v>
      </c>
      <c r="Z419" s="11">
        <f>Augmented_Data!$Y419+Augmented_Data!$T419</f>
        <v>672.56</v>
      </c>
      <c r="AA419" s="13">
        <f>IF(Augmented_Data!Q419="0 delivery charge",Augmented_Data!Z419-Augmented_Data!T419,Augmented_Data!Z419*(1-Augmented_Data!Q419))</f>
        <v>630.55999999999995</v>
      </c>
    </row>
    <row r="420" spans="1:27" x14ac:dyDescent="0.3">
      <c r="A420" s="14" t="s">
        <v>70</v>
      </c>
      <c r="B420" s="14" t="str">
        <f>_xlfn.CONCAT(Augmented_Data!$C420," ",Augmented_Data!$D420)</f>
        <v>Sarah Butler</v>
      </c>
      <c r="C420" s="14" t="s">
        <v>164</v>
      </c>
      <c r="D420" s="14" t="s">
        <v>248</v>
      </c>
      <c r="E420" s="14">
        <v>64</v>
      </c>
      <c r="F420" s="14" t="s">
        <v>288</v>
      </c>
      <c r="G420" s="14" t="s">
        <v>291</v>
      </c>
      <c r="H420" s="14" t="s">
        <v>351</v>
      </c>
      <c r="I420" s="14" t="s">
        <v>451</v>
      </c>
      <c r="J420" s="14" t="s">
        <v>917</v>
      </c>
      <c r="K420" s="15">
        <v>45147</v>
      </c>
      <c r="L420" s="14" t="s">
        <v>1416</v>
      </c>
      <c r="M420" s="14" t="s">
        <v>1544</v>
      </c>
      <c r="N420" s="14">
        <v>107.47</v>
      </c>
      <c r="O420" s="14">
        <v>5</v>
      </c>
      <c r="P420" s="14" t="s">
        <v>1550</v>
      </c>
      <c r="Q420" s="14" t="str">
        <f>_xlfn.IFS(Augmented_Data!$P420="FLAT8","8%",Augmented_Data!$P420="FLAT10","10%",Augmented_Data!$P420="FLAT15","15%",Augmented_Data!$P420="FLAT20","20%",Augmented_Data!$P420="DEL0","0 delivery charge")</f>
        <v>20%</v>
      </c>
      <c r="R420" s="14">
        <v>6</v>
      </c>
      <c r="S420" s="14" t="str">
        <f>_xlfn.IFS(Augmented_Data!U420-Augmented_Data!K420=Augmented_Data!$R420,"Intime",Augmented_Data!U420-Augmented_Data!K420&lt;Augmented_Data!R420,"Before Time",Augmented_Data!U420-Augmented_Data!K420&gt;Augmented_Data!R420,"Late")</f>
        <v>Before Time</v>
      </c>
      <c r="T420" s="14">
        <v>47</v>
      </c>
      <c r="U420" s="15">
        <v>45149</v>
      </c>
      <c r="V420" s="14">
        <f>DATEDIF(Augmented_Data!$K420,Augmented_Data!$U420,"D")</f>
        <v>2</v>
      </c>
      <c r="W420" s="14" t="s">
        <v>1965</v>
      </c>
      <c r="X420" s="14">
        <f>Augmented_Data!$Z420-Augmented_Data!$AA420</f>
        <v>116.87</v>
      </c>
      <c r="Y420" s="14">
        <f>Augmented_Data!$N420*Augmented_Data!$O420</f>
        <v>537.35</v>
      </c>
      <c r="Z420" s="14">
        <f>Augmented_Data!$Y420+Augmented_Data!$T420</f>
        <v>584.35</v>
      </c>
      <c r="AA420" s="16">
        <f>IF(Augmented_Data!Q420="0 delivery charge",Augmented_Data!Z420-Augmented_Data!T420,Augmented_Data!Z420*(1-Augmented_Data!Q420))</f>
        <v>467.48</v>
      </c>
    </row>
    <row r="421" spans="1:27" x14ac:dyDescent="0.3">
      <c r="A421" s="11" t="s">
        <v>55</v>
      </c>
      <c r="B421" s="11" t="str">
        <f>_xlfn.CONCAT(Augmented_Data!$C421," ",Augmented_Data!$D421)</f>
        <v>Timothy Hicks</v>
      </c>
      <c r="C421" s="11" t="s">
        <v>153</v>
      </c>
      <c r="D421" s="11" t="s">
        <v>236</v>
      </c>
      <c r="E421" s="11">
        <v>31</v>
      </c>
      <c r="F421" s="11" t="s">
        <v>290</v>
      </c>
      <c r="G421" s="11" t="s">
        <v>294</v>
      </c>
      <c r="H421" s="11" t="s">
        <v>336</v>
      </c>
      <c r="I421" s="11" t="s">
        <v>436</v>
      </c>
      <c r="J421" s="11" t="s">
        <v>918</v>
      </c>
      <c r="K421" s="12">
        <v>45653</v>
      </c>
      <c r="L421" s="11" t="s">
        <v>1417</v>
      </c>
      <c r="M421" s="11" t="s">
        <v>1529</v>
      </c>
      <c r="N421" s="11">
        <v>128.13999999999999</v>
      </c>
      <c r="O421" s="11">
        <v>1</v>
      </c>
      <c r="P421" s="11" t="s">
        <v>1547</v>
      </c>
      <c r="Q421" s="11" t="str">
        <f>_xlfn.IFS(Augmented_Data!$P421="FLAT8","8%",Augmented_Data!$P421="FLAT10","10%",Augmented_Data!$P421="FLAT15","15%",Augmented_Data!$P421="FLAT20","20%",Augmented_Data!$P421="DEL0","0 delivery charge")</f>
        <v>0 delivery charge</v>
      </c>
      <c r="R421" s="11">
        <v>3</v>
      </c>
      <c r="S421" s="11" t="str">
        <f>_xlfn.IFS(Augmented_Data!U421-Augmented_Data!K421=Augmented_Data!$R421,"Intime",Augmented_Data!U421-Augmented_Data!K421&lt;Augmented_Data!R421,"Before Time",Augmented_Data!U421-Augmented_Data!K421&gt;Augmented_Data!R421,"Late")</f>
        <v>Before Time</v>
      </c>
      <c r="T421" s="11">
        <v>55</v>
      </c>
      <c r="U421" s="12">
        <v>45655</v>
      </c>
      <c r="V421" s="11">
        <f>DATEDIF(Augmented_Data!$K421,Augmented_Data!$U421,"D")</f>
        <v>2</v>
      </c>
      <c r="W421" s="11" t="s">
        <v>1966</v>
      </c>
      <c r="X421" s="11">
        <f>Augmented_Data!$Z421-Augmented_Data!$AA421</f>
        <v>55</v>
      </c>
      <c r="Y421" s="11">
        <f>Augmented_Data!$N421*Augmented_Data!$O421</f>
        <v>128.13999999999999</v>
      </c>
      <c r="Z421" s="11">
        <f>Augmented_Data!$Y421+Augmented_Data!$T421</f>
        <v>183.14</v>
      </c>
      <c r="AA421" s="13">
        <f>IF(Augmented_Data!Q421="0 delivery charge",Augmented_Data!Z421-Augmented_Data!T421,Augmented_Data!Z421*(1-Augmented_Data!Q421))</f>
        <v>128.13999999999999</v>
      </c>
    </row>
    <row r="422" spans="1:27" x14ac:dyDescent="0.3">
      <c r="A422" s="14" t="s">
        <v>74</v>
      </c>
      <c r="B422" s="14" t="str">
        <f>_xlfn.CONCAT(Augmented_Data!$C422," ",Augmented_Data!$D422)</f>
        <v>Jodi Whitney</v>
      </c>
      <c r="C422" s="14" t="s">
        <v>167</v>
      </c>
      <c r="D422" s="14" t="s">
        <v>252</v>
      </c>
      <c r="E422" s="14">
        <v>33</v>
      </c>
      <c r="F422" s="14" t="s">
        <v>290</v>
      </c>
      <c r="G422" s="14" t="s">
        <v>297</v>
      </c>
      <c r="H422" s="14" t="s">
        <v>355</v>
      </c>
      <c r="I422" s="14" t="s">
        <v>455</v>
      </c>
      <c r="J422" s="14" t="s">
        <v>919</v>
      </c>
      <c r="K422" s="15">
        <v>45351</v>
      </c>
      <c r="L422" s="14" t="s">
        <v>1418</v>
      </c>
      <c r="M422" s="14" t="s">
        <v>1534</v>
      </c>
      <c r="N422" s="14">
        <v>425.59</v>
      </c>
      <c r="O422" s="14">
        <v>2</v>
      </c>
      <c r="P422" s="14" t="s">
        <v>1549</v>
      </c>
      <c r="Q422" s="14" t="str">
        <f>_xlfn.IFS(Augmented_Data!$P422="FLAT8","8%",Augmented_Data!$P422="FLAT10","10%",Augmented_Data!$P422="FLAT15","15%",Augmented_Data!$P422="FLAT20","20%",Augmented_Data!$P422="DEL0","0 delivery charge")</f>
        <v>10%</v>
      </c>
      <c r="R422" s="14">
        <v>4</v>
      </c>
      <c r="S422" s="14" t="str">
        <f>_xlfn.IFS(Augmented_Data!U422-Augmented_Data!K422=Augmented_Data!$R422,"Intime",Augmented_Data!U422-Augmented_Data!K422&lt;Augmented_Data!R422,"Before Time",Augmented_Data!U422-Augmented_Data!K422&gt;Augmented_Data!R422,"Late")</f>
        <v>Late</v>
      </c>
      <c r="T422" s="14">
        <v>64</v>
      </c>
      <c r="U422" s="15">
        <v>45358</v>
      </c>
      <c r="V422" s="14">
        <f>DATEDIF(Augmented_Data!$K422,Augmented_Data!$U422,"D")</f>
        <v>7</v>
      </c>
      <c r="W422" s="14" t="s">
        <v>1967</v>
      </c>
      <c r="X422" s="14">
        <f>Augmented_Data!$Z422-Augmented_Data!$AA422</f>
        <v>91.518000000000029</v>
      </c>
      <c r="Y422" s="14">
        <f>Augmented_Data!$N422*Augmented_Data!$O422</f>
        <v>851.18</v>
      </c>
      <c r="Z422" s="14">
        <f>Augmented_Data!$Y422+Augmented_Data!$T422</f>
        <v>915.18</v>
      </c>
      <c r="AA422" s="16">
        <f>IF(Augmented_Data!Q422="0 delivery charge",Augmented_Data!Z422-Augmented_Data!T422,Augmented_Data!Z422*(1-Augmented_Data!Q422))</f>
        <v>823.66199999999992</v>
      </c>
    </row>
    <row r="423" spans="1:27" x14ac:dyDescent="0.3">
      <c r="A423" s="11" t="s">
        <v>59</v>
      </c>
      <c r="B423" s="11" t="str">
        <f>_xlfn.CONCAT(Augmented_Data!$C423," ",Augmented_Data!$D423)</f>
        <v>Alexandra Smith</v>
      </c>
      <c r="C423" s="11" t="s">
        <v>156</v>
      </c>
      <c r="D423" s="11" t="s">
        <v>240</v>
      </c>
      <c r="E423" s="11">
        <v>70</v>
      </c>
      <c r="F423" s="11" t="s">
        <v>288</v>
      </c>
      <c r="G423" s="11" t="s">
        <v>291</v>
      </c>
      <c r="H423" s="11" t="s">
        <v>340</v>
      </c>
      <c r="I423" s="11" t="s">
        <v>440</v>
      </c>
      <c r="J423" s="11" t="s">
        <v>920</v>
      </c>
      <c r="K423" s="12">
        <v>45622</v>
      </c>
      <c r="L423" s="11" t="s">
        <v>1419</v>
      </c>
      <c r="M423" s="11" t="s">
        <v>1546</v>
      </c>
      <c r="N423" s="11">
        <v>33.49</v>
      </c>
      <c r="O423" s="11">
        <v>5</v>
      </c>
      <c r="P423" s="11" t="s">
        <v>1550</v>
      </c>
      <c r="Q423" s="11" t="str">
        <f>_xlfn.IFS(Augmented_Data!$P423="FLAT8","8%",Augmented_Data!$P423="FLAT10","10%",Augmented_Data!$P423="FLAT15","15%",Augmented_Data!$P423="FLAT20","20%",Augmented_Data!$P423="DEL0","0 delivery charge")</f>
        <v>20%</v>
      </c>
      <c r="R423" s="11">
        <v>5</v>
      </c>
      <c r="S423" s="11" t="str">
        <f>_xlfn.IFS(Augmented_Data!U423-Augmented_Data!K423=Augmented_Data!$R423,"Intime",Augmented_Data!U423-Augmented_Data!K423&lt;Augmented_Data!R423,"Before Time",Augmented_Data!U423-Augmented_Data!K423&gt;Augmented_Data!R423,"Late")</f>
        <v>Late</v>
      </c>
      <c r="T423" s="11">
        <v>64</v>
      </c>
      <c r="U423" s="12">
        <v>45628</v>
      </c>
      <c r="V423" s="11">
        <f>DATEDIF(Augmented_Data!$K423,Augmented_Data!$U423,"D")</f>
        <v>6</v>
      </c>
      <c r="W423" s="11" t="s">
        <v>1968</v>
      </c>
      <c r="X423" s="11">
        <f>Augmented_Data!$Z423-Augmented_Data!$AA423</f>
        <v>46.289999999999992</v>
      </c>
      <c r="Y423" s="11">
        <f>Augmented_Data!$N423*Augmented_Data!$O423</f>
        <v>167.45000000000002</v>
      </c>
      <c r="Z423" s="11">
        <f>Augmented_Data!$Y423+Augmented_Data!$T423</f>
        <v>231.45000000000002</v>
      </c>
      <c r="AA423" s="13">
        <f>IF(Augmented_Data!Q423="0 delivery charge",Augmented_Data!Z423-Augmented_Data!T423,Augmented_Data!Z423*(1-Augmented_Data!Q423))</f>
        <v>185.16000000000003</v>
      </c>
    </row>
    <row r="424" spans="1:27" x14ac:dyDescent="0.3">
      <c r="A424" s="14" t="s">
        <v>41</v>
      </c>
      <c r="B424" s="14" t="str">
        <f>_xlfn.CONCAT(Augmented_Data!$C424," ",Augmented_Data!$D424)</f>
        <v>Angela Evans</v>
      </c>
      <c r="C424" s="14" t="s">
        <v>122</v>
      </c>
      <c r="D424" s="14" t="s">
        <v>222</v>
      </c>
      <c r="E424" s="14">
        <v>52</v>
      </c>
      <c r="F424" s="14" t="s">
        <v>290</v>
      </c>
      <c r="G424" s="14" t="s">
        <v>292</v>
      </c>
      <c r="H424" s="14" t="s">
        <v>322</v>
      </c>
      <c r="I424" s="14" t="s">
        <v>422</v>
      </c>
      <c r="J424" s="14" t="s">
        <v>921</v>
      </c>
      <c r="K424" s="15">
        <v>45269</v>
      </c>
      <c r="L424" s="14" t="s">
        <v>1420</v>
      </c>
      <c r="M424" s="14" t="s">
        <v>1539</v>
      </c>
      <c r="N424" s="14">
        <v>235.63</v>
      </c>
      <c r="O424" s="14">
        <v>1</v>
      </c>
      <c r="P424" s="14" t="s">
        <v>1547</v>
      </c>
      <c r="Q424" s="14" t="str">
        <f>_xlfn.IFS(Augmented_Data!$P424="FLAT8","8%",Augmented_Data!$P424="FLAT10","10%",Augmented_Data!$P424="FLAT15","15%",Augmented_Data!$P424="FLAT20","20%",Augmented_Data!$P424="DEL0","0 delivery charge")</f>
        <v>0 delivery charge</v>
      </c>
      <c r="R424" s="14">
        <v>6</v>
      </c>
      <c r="S424" s="14" t="str">
        <f>_xlfn.IFS(Augmented_Data!U424-Augmented_Data!K424=Augmented_Data!$R424,"Intime",Augmented_Data!U424-Augmented_Data!K424&lt;Augmented_Data!R424,"Before Time",Augmented_Data!U424-Augmented_Data!K424&gt;Augmented_Data!R424,"Late")</f>
        <v>Before Time</v>
      </c>
      <c r="T424" s="14">
        <v>35</v>
      </c>
      <c r="U424" s="15">
        <v>45272</v>
      </c>
      <c r="V424" s="14">
        <f>DATEDIF(Augmented_Data!$K424,Augmented_Data!$U424,"D")</f>
        <v>3</v>
      </c>
      <c r="W424" s="14" t="s">
        <v>1969</v>
      </c>
      <c r="X424" s="14">
        <f>Augmented_Data!$Z424-Augmented_Data!$AA424</f>
        <v>35</v>
      </c>
      <c r="Y424" s="14">
        <f>Augmented_Data!$N424*Augmented_Data!$O424</f>
        <v>235.63</v>
      </c>
      <c r="Z424" s="14">
        <f>Augmented_Data!$Y424+Augmented_Data!$T424</f>
        <v>270.63</v>
      </c>
      <c r="AA424" s="16">
        <f>IF(Augmented_Data!Q424="0 delivery charge",Augmented_Data!Z424-Augmented_Data!T424,Augmented_Data!Z424*(1-Augmented_Data!Q424))</f>
        <v>235.63</v>
      </c>
    </row>
    <row r="425" spans="1:27" x14ac:dyDescent="0.3">
      <c r="A425" s="11" t="s">
        <v>72</v>
      </c>
      <c r="B425" s="11" t="str">
        <f>_xlfn.CONCAT(Augmented_Data!$C425," ",Augmented_Data!$D425)</f>
        <v>Lauren Lane</v>
      </c>
      <c r="C425" s="11" t="s">
        <v>144</v>
      </c>
      <c r="D425" s="11" t="s">
        <v>250</v>
      </c>
      <c r="E425" s="11">
        <v>30</v>
      </c>
      <c r="F425" s="11" t="s">
        <v>288</v>
      </c>
      <c r="G425" s="11" t="s">
        <v>298</v>
      </c>
      <c r="H425" s="11" t="s">
        <v>353</v>
      </c>
      <c r="I425" s="11" t="s">
        <v>453</v>
      </c>
      <c r="J425" s="11" t="s">
        <v>889</v>
      </c>
      <c r="K425" s="12">
        <v>45695</v>
      </c>
      <c r="L425" s="11" t="s">
        <v>1389</v>
      </c>
      <c r="M425" s="11" t="s">
        <v>1542</v>
      </c>
      <c r="N425" s="11">
        <v>20</v>
      </c>
      <c r="O425" s="11">
        <v>3</v>
      </c>
      <c r="P425" s="11" t="s">
        <v>1549</v>
      </c>
      <c r="Q425" s="11" t="str">
        <f>_xlfn.IFS(Augmented_Data!$P425="FLAT8","8%",Augmented_Data!$P425="FLAT10","10%",Augmented_Data!$P425="FLAT15","15%",Augmented_Data!$P425="FLAT20","20%",Augmented_Data!$P425="DEL0","0 delivery charge")</f>
        <v>10%</v>
      </c>
      <c r="R425" s="11">
        <v>7</v>
      </c>
      <c r="S425" s="11" t="str">
        <f>_xlfn.IFS(Augmented_Data!U425-Augmented_Data!K425=Augmented_Data!$R425,"Intime",Augmented_Data!U425-Augmented_Data!K425&lt;Augmented_Data!R425,"Before Time",Augmented_Data!U425-Augmented_Data!K425&gt;Augmented_Data!R425,"Late")</f>
        <v>Before Time</v>
      </c>
      <c r="T425" s="11">
        <v>65</v>
      </c>
      <c r="U425" s="12">
        <v>45701</v>
      </c>
      <c r="V425" s="11">
        <f>DATEDIF(Augmented_Data!$K425,Augmented_Data!$U425,"D")</f>
        <v>6</v>
      </c>
      <c r="W425" s="11" t="s">
        <v>1938</v>
      </c>
      <c r="X425" s="11">
        <f>Augmented_Data!$Z425-Augmented_Data!$AA425</f>
        <v>12.5</v>
      </c>
      <c r="Y425" s="11">
        <f>Augmented_Data!$N425*Augmented_Data!$O425</f>
        <v>60</v>
      </c>
      <c r="Z425" s="11">
        <f>Augmented_Data!$Y425+Augmented_Data!$T425</f>
        <v>125</v>
      </c>
      <c r="AA425" s="13">
        <f>IF(Augmented_Data!Q425="0 delivery charge",Augmented_Data!Z425-Augmented_Data!T425,Augmented_Data!Z425*(1-Augmented_Data!Q425))</f>
        <v>112.5</v>
      </c>
    </row>
    <row r="426" spans="1:27" x14ac:dyDescent="0.3">
      <c r="A426" s="14" t="s">
        <v>89</v>
      </c>
      <c r="B426" s="14" t="str">
        <f>_xlfn.CONCAT(Augmented_Data!$C426," ",Augmented_Data!$D426)</f>
        <v>Melissa Levy</v>
      </c>
      <c r="C426" s="14" t="s">
        <v>179</v>
      </c>
      <c r="D426" s="14" t="s">
        <v>265</v>
      </c>
      <c r="E426" s="14">
        <v>30</v>
      </c>
      <c r="F426" s="14" t="s">
        <v>288</v>
      </c>
      <c r="G426" s="14" t="s">
        <v>293</v>
      </c>
      <c r="H426" s="14" t="s">
        <v>370</v>
      </c>
      <c r="I426" s="14" t="s">
        <v>470</v>
      </c>
      <c r="J426" s="14" t="s">
        <v>923</v>
      </c>
      <c r="K426" s="15">
        <v>45587</v>
      </c>
      <c r="L426" s="14" t="s">
        <v>1422</v>
      </c>
      <c r="M426" s="14" t="s">
        <v>1546</v>
      </c>
      <c r="N426" s="14">
        <v>33.49</v>
      </c>
      <c r="O426" s="14">
        <v>5</v>
      </c>
      <c r="P426" s="14" t="s">
        <v>1550</v>
      </c>
      <c r="Q426" s="14" t="str">
        <f>_xlfn.IFS(Augmented_Data!$P426="FLAT8","8%",Augmented_Data!$P426="FLAT10","10%",Augmented_Data!$P426="FLAT15","15%",Augmented_Data!$P426="FLAT20","20%",Augmented_Data!$P426="DEL0","0 delivery charge")</f>
        <v>20%</v>
      </c>
      <c r="R426" s="14">
        <v>2</v>
      </c>
      <c r="S426" s="14" t="str">
        <f>_xlfn.IFS(Augmented_Data!U426-Augmented_Data!K426=Augmented_Data!$R426,"Intime",Augmented_Data!U426-Augmented_Data!K426&lt;Augmented_Data!R426,"Before Time",Augmented_Data!U426-Augmented_Data!K426&gt;Augmented_Data!R426,"Late")</f>
        <v>Intime</v>
      </c>
      <c r="T426" s="14">
        <v>58</v>
      </c>
      <c r="U426" s="15">
        <v>45589</v>
      </c>
      <c r="V426" s="14">
        <f>DATEDIF(Augmented_Data!$K426,Augmented_Data!$U426,"D")</f>
        <v>2</v>
      </c>
      <c r="W426" s="14" t="s">
        <v>1971</v>
      </c>
      <c r="X426" s="14">
        <f>Augmented_Data!$Z426-Augmented_Data!$AA426</f>
        <v>45.09</v>
      </c>
      <c r="Y426" s="14">
        <f>Augmented_Data!$N426*Augmented_Data!$O426</f>
        <v>167.45000000000002</v>
      </c>
      <c r="Z426" s="14">
        <f>Augmented_Data!$Y426+Augmented_Data!$T426</f>
        <v>225.45000000000002</v>
      </c>
      <c r="AA426" s="16">
        <f>IF(Augmented_Data!Q426="0 delivery charge",Augmented_Data!Z426-Augmented_Data!T426,Augmented_Data!Z426*(1-Augmented_Data!Q426))</f>
        <v>180.36</v>
      </c>
    </row>
    <row r="427" spans="1:27" x14ac:dyDescent="0.3">
      <c r="A427" s="11" t="s">
        <v>81</v>
      </c>
      <c r="B427" s="11" t="str">
        <f>_xlfn.CONCAT(Augmented_Data!$C427," ",Augmented_Data!$D427)</f>
        <v>Beth Mason</v>
      </c>
      <c r="C427" s="11" t="s">
        <v>171</v>
      </c>
      <c r="D427" s="11" t="s">
        <v>258</v>
      </c>
      <c r="E427" s="11">
        <v>45</v>
      </c>
      <c r="F427" s="11" t="s">
        <v>290</v>
      </c>
      <c r="G427" s="11" t="s">
        <v>296</v>
      </c>
      <c r="H427" s="11" t="s">
        <v>362</v>
      </c>
      <c r="I427" s="11" t="s">
        <v>462</v>
      </c>
      <c r="J427" s="11" t="s">
        <v>924</v>
      </c>
      <c r="K427" s="12">
        <v>44987</v>
      </c>
      <c r="L427" s="11" t="s">
        <v>1423</v>
      </c>
      <c r="M427" s="11" t="s">
        <v>1533</v>
      </c>
      <c r="N427" s="11">
        <v>136.30000000000001</v>
      </c>
      <c r="O427" s="11">
        <v>1</v>
      </c>
      <c r="P427" s="11" t="s">
        <v>2047</v>
      </c>
      <c r="Q427" s="11" t="str">
        <f>_xlfn.IFS(Augmented_Data!$P427="FLAT8","8%",Augmented_Data!$P427="FLAT10","10%",Augmented_Data!$P427="FLAT15","15%",Augmented_Data!$P427="FLAT20","20%",Augmented_Data!$P427="DEL0","0 delivery charge")</f>
        <v>8%</v>
      </c>
      <c r="R427" s="11">
        <v>4</v>
      </c>
      <c r="S427" s="11" t="str">
        <f>_xlfn.IFS(Augmented_Data!U427-Augmented_Data!K427=Augmented_Data!$R427,"Intime",Augmented_Data!U427-Augmented_Data!K427&lt;Augmented_Data!R427,"Before Time",Augmented_Data!U427-Augmented_Data!K427&gt;Augmented_Data!R427,"Late")</f>
        <v>Before Time</v>
      </c>
      <c r="T427" s="11">
        <v>41</v>
      </c>
      <c r="U427" s="12">
        <v>44988</v>
      </c>
      <c r="V427" s="11">
        <f>DATEDIF(Augmented_Data!$K427,Augmented_Data!$U427,"D")</f>
        <v>1</v>
      </c>
      <c r="W427" s="11" t="s">
        <v>1972</v>
      </c>
      <c r="X427" s="11">
        <f>Augmented_Data!$Z427-Augmented_Data!$AA427</f>
        <v>14.183999999999997</v>
      </c>
      <c r="Y427" s="11">
        <f>Augmented_Data!$N427*Augmented_Data!$O427</f>
        <v>136.30000000000001</v>
      </c>
      <c r="Z427" s="11">
        <f>Augmented_Data!$Y427+Augmented_Data!$T427</f>
        <v>177.3</v>
      </c>
      <c r="AA427" s="13">
        <f>IF(Augmented_Data!Q427="0 delivery charge",Augmented_Data!Z427-Augmented_Data!T427,Augmented_Data!Z427*(1-Augmented_Data!Q427))</f>
        <v>163.11600000000001</v>
      </c>
    </row>
    <row r="428" spans="1:27" x14ac:dyDescent="0.3">
      <c r="A428" s="14" t="s">
        <v>115</v>
      </c>
      <c r="B428" s="14" t="str">
        <f>_xlfn.CONCAT(Augmented_Data!$C428," ",Augmented_Data!$D428)</f>
        <v>Scott Jones</v>
      </c>
      <c r="C428" s="14" t="s">
        <v>198</v>
      </c>
      <c r="D428" s="14" t="s">
        <v>217</v>
      </c>
      <c r="E428" s="14">
        <v>29</v>
      </c>
      <c r="F428" s="14" t="s">
        <v>290</v>
      </c>
      <c r="G428" s="14" t="s">
        <v>296</v>
      </c>
      <c r="H428" s="14" t="s">
        <v>396</v>
      </c>
      <c r="I428" s="14" t="s">
        <v>496</v>
      </c>
      <c r="J428" s="14" t="s">
        <v>925</v>
      </c>
      <c r="K428" s="15">
        <v>45537</v>
      </c>
      <c r="L428" s="14" t="s">
        <v>1424</v>
      </c>
      <c r="M428" s="14" t="s">
        <v>1520</v>
      </c>
      <c r="N428" s="14">
        <v>62.42</v>
      </c>
      <c r="O428" s="14">
        <v>1</v>
      </c>
      <c r="P428" s="14" t="s">
        <v>2047</v>
      </c>
      <c r="Q428" s="14" t="str">
        <f>_xlfn.IFS(Augmented_Data!$P428="FLAT8","8%",Augmented_Data!$P428="FLAT10","10%",Augmented_Data!$P428="FLAT15","15%",Augmented_Data!$P428="FLAT20","20%",Augmented_Data!$P428="DEL0","0 delivery charge")</f>
        <v>8%</v>
      </c>
      <c r="R428" s="14">
        <v>3</v>
      </c>
      <c r="S428" s="14" t="str">
        <f>_xlfn.IFS(Augmented_Data!U428-Augmented_Data!K428=Augmented_Data!$R428,"Intime",Augmented_Data!U428-Augmented_Data!K428&lt;Augmented_Data!R428,"Before Time",Augmented_Data!U428-Augmented_Data!K428&gt;Augmented_Data!R428,"Late")</f>
        <v>Late</v>
      </c>
      <c r="T428" s="14">
        <v>48</v>
      </c>
      <c r="U428" s="15">
        <v>45542</v>
      </c>
      <c r="V428" s="14">
        <f>DATEDIF(Augmented_Data!$K428,Augmented_Data!$U428,"D")</f>
        <v>5</v>
      </c>
      <c r="W428" s="14" t="s">
        <v>1973</v>
      </c>
      <c r="X428" s="14">
        <f>Augmented_Data!$Z428-Augmented_Data!$AA428</f>
        <v>8.8335999999999899</v>
      </c>
      <c r="Y428" s="14">
        <f>Augmented_Data!$N428*Augmented_Data!$O428</f>
        <v>62.42</v>
      </c>
      <c r="Z428" s="14">
        <f>Augmented_Data!$Y428+Augmented_Data!$T428</f>
        <v>110.42</v>
      </c>
      <c r="AA428" s="16">
        <f>IF(Augmented_Data!Q428="0 delivery charge",Augmented_Data!Z428-Augmented_Data!T428,Augmented_Data!Z428*(1-Augmented_Data!Q428))</f>
        <v>101.58640000000001</v>
      </c>
    </row>
    <row r="429" spans="1:27" x14ac:dyDescent="0.3">
      <c r="A429" s="11" t="s">
        <v>71</v>
      </c>
      <c r="B429" s="11" t="str">
        <f>_xlfn.CONCAT(Augmented_Data!$C429," ",Augmented_Data!$D429)</f>
        <v>Katherine Weber</v>
      </c>
      <c r="C429" s="11" t="s">
        <v>165</v>
      </c>
      <c r="D429" s="11" t="s">
        <v>249</v>
      </c>
      <c r="E429" s="11">
        <v>42</v>
      </c>
      <c r="F429" s="11" t="s">
        <v>290</v>
      </c>
      <c r="G429" s="11" t="s">
        <v>295</v>
      </c>
      <c r="H429" s="11" t="s">
        <v>352</v>
      </c>
      <c r="I429" s="11" t="s">
        <v>452</v>
      </c>
      <c r="J429" s="11" t="s">
        <v>926</v>
      </c>
      <c r="K429" s="12">
        <v>45646</v>
      </c>
      <c r="L429" s="11" t="s">
        <v>1425</v>
      </c>
      <c r="M429" s="11" t="s">
        <v>1534</v>
      </c>
      <c r="N429" s="11">
        <v>425.59</v>
      </c>
      <c r="O429" s="11">
        <v>5</v>
      </c>
      <c r="P429" s="11" t="s">
        <v>1547</v>
      </c>
      <c r="Q429" s="11" t="str">
        <f>_xlfn.IFS(Augmented_Data!$P429="FLAT8","8%",Augmented_Data!$P429="FLAT10","10%",Augmented_Data!$P429="FLAT15","15%",Augmented_Data!$P429="FLAT20","20%",Augmented_Data!$P429="DEL0","0 delivery charge")</f>
        <v>0 delivery charge</v>
      </c>
      <c r="R429" s="11">
        <v>5</v>
      </c>
      <c r="S429" s="11" t="str">
        <f>_xlfn.IFS(Augmented_Data!U429-Augmented_Data!K429=Augmented_Data!$R429,"Intime",Augmented_Data!U429-Augmented_Data!K429&lt;Augmented_Data!R429,"Before Time",Augmented_Data!U429-Augmented_Data!K429&gt;Augmented_Data!R429,"Late")</f>
        <v>Late</v>
      </c>
      <c r="T429" s="11">
        <v>47</v>
      </c>
      <c r="U429" s="12">
        <v>45652</v>
      </c>
      <c r="V429" s="11">
        <f>DATEDIF(Augmented_Data!$K429,Augmented_Data!$U429,"D")</f>
        <v>6</v>
      </c>
      <c r="W429" s="11" t="s">
        <v>1974</v>
      </c>
      <c r="X429" s="11">
        <f>Augmented_Data!$Z429-Augmented_Data!$AA429</f>
        <v>47</v>
      </c>
      <c r="Y429" s="11">
        <f>Augmented_Data!$N429*Augmented_Data!$O429</f>
        <v>2127.9499999999998</v>
      </c>
      <c r="Z429" s="11">
        <f>Augmented_Data!$Y429+Augmented_Data!$T429</f>
        <v>2174.9499999999998</v>
      </c>
      <c r="AA429" s="13">
        <f>IF(Augmented_Data!Q429="0 delivery charge",Augmented_Data!Z429-Augmented_Data!T429,Augmented_Data!Z429*(1-Augmented_Data!Q429))</f>
        <v>2127.9499999999998</v>
      </c>
    </row>
    <row r="430" spans="1:27" x14ac:dyDescent="0.3">
      <c r="A430" s="14" t="s">
        <v>36</v>
      </c>
      <c r="B430" s="14" t="str">
        <f>_xlfn.CONCAT(Augmented_Data!$C430," ",Augmented_Data!$D430)</f>
        <v>Traci Jones</v>
      </c>
      <c r="C430" s="14" t="s">
        <v>136</v>
      </c>
      <c r="D430" s="14" t="s">
        <v>217</v>
      </c>
      <c r="E430" s="14">
        <v>34</v>
      </c>
      <c r="F430" s="14" t="s">
        <v>288</v>
      </c>
      <c r="G430" s="14" t="s">
        <v>296</v>
      </c>
      <c r="H430" s="14" t="s">
        <v>317</v>
      </c>
      <c r="I430" s="14" t="s">
        <v>417</v>
      </c>
      <c r="J430" s="14" t="s">
        <v>927</v>
      </c>
      <c r="K430" s="15">
        <v>45504</v>
      </c>
      <c r="L430" s="14" t="s">
        <v>1426</v>
      </c>
      <c r="M430" s="14" t="s">
        <v>1544</v>
      </c>
      <c r="N430" s="14">
        <v>107.47</v>
      </c>
      <c r="O430" s="14">
        <v>5</v>
      </c>
      <c r="P430" s="14" t="s">
        <v>1549</v>
      </c>
      <c r="Q430" s="14" t="str">
        <f>_xlfn.IFS(Augmented_Data!$P430="FLAT8","8%",Augmented_Data!$P430="FLAT10","10%",Augmented_Data!$P430="FLAT15","15%",Augmented_Data!$P430="FLAT20","20%",Augmented_Data!$P430="DEL0","0 delivery charge")</f>
        <v>10%</v>
      </c>
      <c r="R430" s="14">
        <v>5</v>
      </c>
      <c r="S430" s="14" t="str">
        <f>_xlfn.IFS(Augmented_Data!U430-Augmented_Data!K430=Augmented_Data!$R430,"Intime",Augmented_Data!U430-Augmented_Data!K430&lt;Augmented_Data!R430,"Before Time",Augmented_Data!U430-Augmented_Data!K430&gt;Augmented_Data!R430,"Late")</f>
        <v>Before Time</v>
      </c>
      <c r="T430" s="14">
        <v>48</v>
      </c>
      <c r="U430" s="15">
        <v>45505</v>
      </c>
      <c r="V430" s="14">
        <f>DATEDIF(Augmented_Data!$K430,Augmented_Data!$U430,"D")</f>
        <v>1</v>
      </c>
      <c r="W430" s="14" t="s">
        <v>1975</v>
      </c>
      <c r="X430" s="14">
        <f>Augmented_Data!$Z430-Augmented_Data!$AA430</f>
        <v>58.534999999999968</v>
      </c>
      <c r="Y430" s="14">
        <f>Augmented_Data!$N430*Augmented_Data!$O430</f>
        <v>537.35</v>
      </c>
      <c r="Z430" s="14">
        <f>Augmented_Data!$Y430+Augmented_Data!$T430</f>
        <v>585.35</v>
      </c>
      <c r="AA430" s="16">
        <f>IF(Augmented_Data!Q430="0 delivery charge",Augmented_Data!Z430-Augmented_Data!T430,Augmented_Data!Z430*(1-Augmented_Data!Q430))</f>
        <v>526.81500000000005</v>
      </c>
    </row>
    <row r="431" spans="1:27" x14ac:dyDescent="0.3">
      <c r="A431" s="11" t="s">
        <v>30</v>
      </c>
      <c r="B431" s="11" t="str">
        <f>_xlfn.CONCAT(Augmented_Data!$C431," ",Augmented_Data!$D431)</f>
        <v>Kara Brennan</v>
      </c>
      <c r="C431" s="11" t="s">
        <v>130</v>
      </c>
      <c r="D431" s="11" t="s">
        <v>212</v>
      </c>
      <c r="E431" s="11">
        <v>25</v>
      </c>
      <c r="F431" s="11" t="s">
        <v>290</v>
      </c>
      <c r="G431" s="11" t="s">
        <v>294</v>
      </c>
      <c r="H431" s="11" t="s">
        <v>311</v>
      </c>
      <c r="I431" s="11" t="s">
        <v>411</v>
      </c>
      <c r="J431" s="11" t="s">
        <v>928</v>
      </c>
      <c r="K431" s="12">
        <v>45271</v>
      </c>
      <c r="L431" s="11" t="s">
        <v>1427</v>
      </c>
      <c r="M431" s="11" t="s">
        <v>1524</v>
      </c>
      <c r="N431" s="11">
        <v>157.63999999999999</v>
      </c>
      <c r="O431" s="11">
        <v>2</v>
      </c>
      <c r="P431" s="11" t="s">
        <v>1547</v>
      </c>
      <c r="Q431" s="11" t="str">
        <f>_xlfn.IFS(Augmented_Data!$P431="FLAT8","8%",Augmented_Data!$P431="FLAT10","10%",Augmented_Data!$P431="FLAT15","15%",Augmented_Data!$P431="FLAT20","20%",Augmented_Data!$P431="DEL0","0 delivery charge")</f>
        <v>0 delivery charge</v>
      </c>
      <c r="R431" s="11">
        <v>5</v>
      </c>
      <c r="S431" s="11" t="str">
        <f>_xlfn.IFS(Augmented_Data!U431-Augmented_Data!K431=Augmented_Data!$R431,"Intime",Augmented_Data!U431-Augmented_Data!K431&lt;Augmented_Data!R431,"Before Time",Augmented_Data!U431-Augmented_Data!K431&gt;Augmented_Data!R431,"Late")</f>
        <v>Late</v>
      </c>
      <c r="T431" s="11">
        <v>57</v>
      </c>
      <c r="U431" s="12">
        <v>45277</v>
      </c>
      <c r="V431" s="11">
        <f>DATEDIF(Augmented_Data!$K431,Augmented_Data!$U431,"D")</f>
        <v>6</v>
      </c>
      <c r="W431" s="11" t="s">
        <v>1976</v>
      </c>
      <c r="X431" s="11">
        <f>Augmented_Data!$Z431-Augmented_Data!$AA431</f>
        <v>57</v>
      </c>
      <c r="Y431" s="11">
        <f>Augmented_Data!$N431*Augmented_Data!$O431</f>
        <v>315.27999999999997</v>
      </c>
      <c r="Z431" s="11">
        <f>Augmented_Data!$Y431+Augmented_Data!$T431</f>
        <v>372.28</v>
      </c>
      <c r="AA431" s="13">
        <f>IF(Augmented_Data!Q431="0 delivery charge",Augmented_Data!Z431-Augmented_Data!T431,Augmented_Data!Z431*(1-Augmented_Data!Q431))</f>
        <v>315.27999999999997</v>
      </c>
    </row>
    <row r="432" spans="1:27" x14ac:dyDescent="0.3">
      <c r="A432" s="14" t="s">
        <v>55</v>
      </c>
      <c r="B432" s="14" t="str">
        <f>_xlfn.CONCAT(Augmented_Data!$C432," ",Augmented_Data!$D432)</f>
        <v>Timothy Hicks</v>
      </c>
      <c r="C432" s="14" t="s">
        <v>153</v>
      </c>
      <c r="D432" s="14" t="s">
        <v>236</v>
      </c>
      <c r="E432" s="14">
        <v>31</v>
      </c>
      <c r="F432" s="14" t="s">
        <v>290</v>
      </c>
      <c r="G432" s="14" t="s">
        <v>294</v>
      </c>
      <c r="H432" s="14" t="s">
        <v>336</v>
      </c>
      <c r="I432" s="14" t="s">
        <v>436</v>
      </c>
      <c r="J432" s="14" t="s">
        <v>929</v>
      </c>
      <c r="K432" s="15">
        <v>45398</v>
      </c>
      <c r="L432" s="14" t="s">
        <v>1428</v>
      </c>
      <c r="M432" s="14" t="s">
        <v>1534</v>
      </c>
      <c r="N432" s="14">
        <v>425.59</v>
      </c>
      <c r="O432" s="14">
        <v>2</v>
      </c>
      <c r="P432" s="14" t="s">
        <v>1548</v>
      </c>
      <c r="Q432" s="14" t="str">
        <f>_xlfn.IFS(Augmented_Data!$P432="FLAT8","8%",Augmented_Data!$P432="FLAT10","10%",Augmented_Data!$P432="FLAT15","15%",Augmented_Data!$P432="FLAT20","20%",Augmented_Data!$P432="DEL0","0 delivery charge")</f>
        <v>15%</v>
      </c>
      <c r="R432" s="14">
        <v>1</v>
      </c>
      <c r="S432" s="14" t="str">
        <f>_xlfn.IFS(Augmented_Data!U432-Augmented_Data!K432=Augmented_Data!$R432,"Intime",Augmented_Data!U432-Augmented_Data!K432&lt;Augmented_Data!R432,"Before Time",Augmented_Data!U432-Augmented_Data!K432&gt;Augmented_Data!R432,"Late")</f>
        <v>Late</v>
      </c>
      <c r="T432" s="14">
        <v>44</v>
      </c>
      <c r="U432" s="15">
        <v>45403</v>
      </c>
      <c r="V432" s="14">
        <f>DATEDIF(Augmented_Data!$K432,Augmented_Data!$U432,"D")</f>
        <v>5</v>
      </c>
      <c r="W432" s="14" t="s">
        <v>1977</v>
      </c>
      <c r="X432" s="14">
        <f>Augmented_Data!$Z432-Augmented_Data!$AA432</f>
        <v>134.27700000000004</v>
      </c>
      <c r="Y432" s="14">
        <f>Augmented_Data!$N432*Augmented_Data!$O432</f>
        <v>851.18</v>
      </c>
      <c r="Z432" s="14">
        <f>Augmented_Data!$Y432+Augmented_Data!$T432</f>
        <v>895.18</v>
      </c>
      <c r="AA432" s="16">
        <f>IF(Augmented_Data!Q432="0 delivery charge",Augmented_Data!Z432-Augmented_Data!T432,Augmented_Data!Z432*(1-Augmented_Data!Q432))</f>
        <v>760.90299999999991</v>
      </c>
    </row>
    <row r="433" spans="1:27" x14ac:dyDescent="0.3">
      <c r="A433" s="11" t="s">
        <v>91</v>
      </c>
      <c r="B433" s="11" t="str">
        <f>_xlfn.CONCAT(Augmented_Data!$C433," ",Augmented_Data!$D433)</f>
        <v>Barbara Fuller</v>
      </c>
      <c r="C433" s="11" t="s">
        <v>180</v>
      </c>
      <c r="D433" s="11" t="s">
        <v>267</v>
      </c>
      <c r="E433" s="11">
        <v>43</v>
      </c>
      <c r="F433" s="11" t="s">
        <v>290</v>
      </c>
      <c r="G433" s="11" t="s">
        <v>293</v>
      </c>
      <c r="H433" s="11" t="s">
        <v>372</v>
      </c>
      <c r="I433" s="11" t="s">
        <v>472</v>
      </c>
      <c r="J433" s="11" t="s">
        <v>930</v>
      </c>
      <c r="K433" s="12">
        <v>45432</v>
      </c>
      <c r="L433" s="11" t="s">
        <v>1429</v>
      </c>
      <c r="M433" s="11" t="s">
        <v>1514</v>
      </c>
      <c r="N433" s="11">
        <v>461.07</v>
      </c>
      <c r="O433" s="11">
        <v>1</v>
      </c>
      <c r="P433" s="11" t="s">
        <v>2047</v>
      </c>
      <c r="Q433" s="11" t="str">
        <f>_xlfn.IFS(Augmented_Data!$P433="FLAT8","8%",Augmented_Data!$P433="FLAT10","10%",Augmented_Data!$P433="FLAT15","15%",Augmented_Data!$P433="FLAT20","20%",Augmented_Data!$P433="DEL0","0 delivery charge")</f>
        <v>8%</v>
      </c>
      <c r="R433" s="11">
        <v>1</v>
      </c>
      <c r="S433" s="11" t="str">
        <f>_xlfn.IFS(Augmented_Data!U433-Augmented_Data!K433=Augmented_Data!$R433,"Intime",Augmented_Data!U433-Augmented_Data!K433&lt;Augmented_Data!R433,"Before Time",Augmented_Data!U433-Augmented_Data!K433&gt;Augmented_Data!R433,"Late")</f>
        <v>Intime</v>
      </c>
      <c r="T433" s="11">
        <v>42</v>
      </c>
      <c r="U433" s="12">
        <v>45433</v>
      </c>
      <c r="V433" s="11">
        <f>DATEDIF(Augmented_Data!$K433,Augmented_Data!$U433,"D")</f>
        <v>1</v>
      </c>
      <c r="W433" s="11" t="s">
        <v>1978</v>
      </c>
      <c r="X433" s="11">
        <f>Augmented_Data!$Z433-Augmented_Data!$AA433</f>
        <v>40.245599999999968</v>
      </c>
      <c r="Y433" s="11">
        <f>Augmented_Data!$N433*Augmented_Data!$O433</f>
        <v>461.07</v>
      </c>
      <c r="Z433" s="11">
        <f>Augmented_Data!$Y433+Augmented_Data!$T433</f>
        <v>503.07</v>
      </c>
      <c r="AA433" s="13">
        <f>IF(Augmented_Data!Q433="0 delivery charge",Augmented_Data!Z433-Augmented_Data!T433,Augmented_Data!Z433*(1-Augmented_Data!Q433))</f>
        <v>462.82440000000003</v>
      </c>
    </row>
    <row r="434" spans="1:27" x14ac:dyDescent="0.3">
      <c r="A434" s="14" t="s">
        <v>25</v>
      </c>
      <c r="B434" s="14" t="str">
        <f>_xlfn.CONCAT(Augmented_Data!$C434," ",Augmented_Data!$D434)</f>
        <v>David Delacruz</v>
      </c>
      <c r="C434" s="14" t="s">
        <v>125</v>
      </c>
      <c r="D434" s="14" t="s">
        <v>207</v>
      </c>
      <c r="E434" s="14">
        <v>26</v>
      </c>
      <c r="F434" s="14" t="s">
        <v>289</v>
      </c>
      <c r="G434" s="14" t="s">
        <v>296</v>
      </c>
      <c r="H434" s="14" t="s">
        <v>306</v>
      </c>
      <c r="I434" s="14" t="s">
        <v>406</v>
      </c>
      <c r="J434" s="14" t="s">
        <v>931</v>
      </c>
      <c r="K434" s="15">
        <v>45449</v>
      </c>
      <c r="L434" s="14" t="s">
        <v>1430</v>
      </c>
      <c r="M434" s="14" t="s">
        <v>1539</v>
      </c>
      <c r="N434" s="14">
        <v>235.63</v>
      </c>
      <c r="O434" s="14">
        <v>1</v>
      </c>
      <c r="P434" s="14" t="s">
        <v>1548</v>
      </c>
      <c r="Q434" s="14" t="str">
        <f>_xlfn.IFS(Augmented_Data!$P434="FLAT8","8%",Augmented_Data!$P434="FLAT10","10%",Augmented_Data!$P434="FLAT15","15%",Augmented_Data!$P434="FLAT20","20%",Augmented_Data!$P434="DEL0","0 delivery charge")</f>
        <v>15%</v>
      </c>
      <c r="R434" s="14">
        <v>3</v>
      </c>
      <c r="S434" s="14" t="str">
        <f>_xlfn.IFS(Augmented_Data!U434-Augmented_Data!K434=Augmented_Data!$R434,"Intime",Augmented_Data!U434-Augmented_Data!K434&lt;Augmented_Data!R434,"Before Time",Augmented_Data!U434-Augmented_Data!K434&gt;Augmented_Data!R434,"Late")</f>
        <v>Late</v>
      </c>
      <c r="T434" s="14">
        <v>55</v>
      </c>
      <c r="U434" s="15">
        <v>45455</v>
      </c>
      <c r="V434" s="14">
        <f>DATEDIF(Augmented_Data!$K434,Augmented_Data!$U434,"D")</f>
        <v>6</v>
      </c>
      <c r="W434" s="14" t="s">
        <v>1979</v>
      </c>
      <c r="X434" s="14">
        <f>Augmented_Data!$Z434-Augmented_Data!$AA434</f>
        <v>43.594500000000011</v>
      </c>
      <c r="Y434" s="14">
        <f>Augmented_Data!$N434*Augmented_Data!$O434</f>
        <v>235.63</v>
      </c>
      <c r="Z434" s="14">
        <f>Augmented_Data!$Y434+Augmented_Data!$T434</f>
        <v>290.63</v>
      </c>
      <c r="AA434" s="16">
        <f>IF(Augmented_Data!Q434="0 delivery charge",Augmented_Data!Z434-Augmented_Data!T434,Augmented_Data!Z434*(1-Augmented_Data!Q434))</f>
        <v>247.03549999999998</v>
      </c>
    </row>
    <row r="435" spans="1:27" x14ac:dyDescent="0.3">
      <c r="A435" s="11" t="s">
        <v>78</v>
      </c>
      <c r="B435" s="11" t="str">
        <f>_xlfn.CONCAT(Augmented_Data!$C435," ",Augmented_Data!$D435)</f>
        <v>Kelli Smith</v>
      </c>
      <c r="C435" s="11" t="s">
        <v>170</v>
      </c>
      <c r="D435" s="11" t="s">
        <v>240</v>
      </c>
      <c r="E435" s="11">
        <v>18</v>
      </c>
      <c r="F435" s="11" t="s">
        <v>289</v>
      </c>
      <c r="G435" s="11" t="s">
        <v>292</v>
      </c>
      <c r="H435" s="11" t="s">
        <v>359</v>
      </c>
      <c r="I435" s="11" t="s">
        <v>459</v>
      </c>
      <c r="J435" s="11" t="s">
        <v>932</v>
      </c>
      <c r="K435" s="12">
        <v>45178</v>
      </c>
      <c r="L435" s="11" t="s">
        <v>1431</v>
      </c>
      <c r="M435" s="11" t="s">
        <v>1541</v>
      </c>
      <c r="N435" s="11">
        <v>133.62</v>
      </c>
      <c r="O435" s="11">
        <v>2</v>
      </c>
      <c r="P435" s="11" t="s">
        <v>2047</v>
      </c>
      <c r="Q435" s="11" t="str">
        <f>_xlfn.IFS(Augmented_Data!$P435="FLAT8","8%",Augmented_Data!$P435="FLAT10","10%",Augmented_Data!$P435="FLAT15","15%",Augmented_Data!$P435="FLAT20","20%",Augmented_Data!$P435="DEL0","0 delivery charge")</f>
        <v>8%</v>
      </c>
      <c r="R435" s="11">
        <v>2</v>
      </c>
      <c r="S435" s="11" t="str">
        <f>_xlfn.IFS(Augmented_Data!U435-Augmented_Data!K435=Augmented_Data!$R435,"Intime",Augmented_Data!U435-Augmented_Data!K435&lt;Augmented_Data!R435,"Before Time",Augmented_Data!U435-Augmented_Data!K435&gt;Augmented_Data!R435,"Late")</f>
        <v>Late</v>
      </c>
      <c r="T435" s="11">
        <v>48</v>
      </c>
      <c r="U435" s="12">
        <v>45184</v>
      </c>
      <c r="V435" s="11">
        <f>DATEDIF(Augmented_Data!$K435,Augmented_Data!$U435,"D")</f>
        <v>6</v>
      </c>
      <c r="W435" s="11" t="s">
        <v>1980</v>
      </c>
      <c r="X435" s="11">
        <f>Augmented_Data!$Z435-Augmented_Data!$AA435</f>
        <v>25.219200000000001</v>
      </c>
      <c r="Y435" s="11">
        <f>Augmented_Data!$N435*Augmented_Data!$O435</f>
        <v>267.24</v>
      </c>
      <c r="Z435" s="11">
        <f>Augmented_Data!$Y435+Augmented_Data!$T435</f>
        <v>315.24</v>
      </c>
      <c r="AA435" s="13">
        <f>IF(Augmented_Data!Q435="0 delivery charge",Augmented_Data!Z435-Augmented_Data!T435,Augmented_Data!Z435*(1-Augmented_Data!Q435))</f>
        <v>290.02080000000001</v>
      </c>
    </row>
    <row r="436" spans="1:27" x14ac:dyDescent="0.3">
      <c r="A436" s="14" t="s">
        <v>20</v>
      </c>
      <c r="B436" s="14" t="str">
        <f>_xlfn.CONCAT(Augmented_Data!$C436," ",Augmented_Data!$D436)</f>
        <v>Hannah Gutierrez</v>
      </c>
      <c r="C436" s="14" t="s">
        <v>120</v>
      </c>
      <c r="D436" s="14" t="s">
        <v>202</v>
      </c>
      <c r="E436" s="14">
        <v>55</v>
      </c>
      <c r="F436" s="14" t="s">
        <v>289</v>
      </c>
      <c r="G436" s="14" t="s">
        <v>293</v>
      </c>
      <c r="H436" s="14" t="s">
        <v>301</v>
      </c>
      <c r="I436" s="14" t="s">
        <v>401</v>
      </c>
      <c r="J436" s="14" t="s">
        <v>864</v>
      </c>
      <c r="K436" s="15">
        <v>45005</v>
      </c>
      <c r="L436" s="14" t="s">
        <v>1364</v>
      </c>
      <c r="M436" s="14" t="s">
        <v>1512</v>
      </c>
      <c r="N436" s="14">
        <v>104.18</v>
      </c>
      <c r="O436" s="14">
        <v>1</v>
      </c>
      <c r="P436" s="14" t="s">
        <v>2047</v>
      </c>
      <c r="Q436" s="14" t="str">
        <f>_xlfn.IFS(Augmented_Data!$P436="FLAT8","8%",Augmented_Data!$P436="FLAT10","10%",Augmented_Data!$P436="FLAT15","15%",Augmented_Data!$P436="FLAT20","20%",Augmented_Data!$P436="DEL0","0 delivery charge")</f>
        <v>8%</v>
      </c>
      <c r="R436" s="14">
        <v>5</v>
      </c>
      <c r="S436" s="14" t="str">
        <f>_xlfn.IFS(Augmented_Data!U436-Augmented_Data!K436=Augmented_Data!$R436,"Intime",Augmented_Data!U436-Augmented_Data!K436&lt;Augmented_Data!R436,"Before Time",Augmented_Data!U436-Augmented_Data!K436&gt;Augmented_Data!R436,"Late")</f>
        <v>Before Time</v>
      </c>
      <c r="T436" s="14">
        <v>37</v>
      </c>
      <c r="U436" s="15">
        <v>45007</v>
      </c>
      <c r="V436" s="14">
        <f>DATEDIF(Augmented_Data!$K436,Augmented_Data!$U436,"D")</f>
        <v>2</v>
      </c>
      <c r="W436" s="14" t="s">
        <v>1915</v>
      </c>
      <c r="X436" s="14">
        <f>Augmented_Data!$Z436-Augmented_Data!$AA436</f>
        <v>11.294399999999996</v>
      </c>
      <c r="Y436" s="14">
        <f>Augmented_Data!$N436*Augmented_Data!$O436</f>
        <v>104.18</v>
      </c>
      <c r="Z436" s="14">
        <f>Augmented_Data!$Y436+Augmented_Data!$T436</f>
        <v>141.18</v>
      </c>
      <c r="AA436" s="16">
        <f>IF(Augmented_Data!Q436="0 delivery charge",Augmented_Data!Z436-Augmented_Data!T436,Augmented_Data!Z436*(1-Augmented_Data!Q436))</f>
        <v>129.88560000000001</v>
      </c>
    </row>
    <row r="437" spans="1:27" x14ac:dyDescent="0.3">
      <c r="A437" s="11" t="s">
        <v>83</v>
      </c>
      <c r="B437" s="11" t="str">
        <f>_xlfn.CONCAT(Augmented_Data!$C437," ",Augmented_Data!$D437)</f>
        <v>Troy Gomez</v>
      </c>
      <c r="C437" s="11" t="s">
        <v>173</v>
      </c>
      <c r="D437" s="11" t="s">
        <v>260</v>
      </c>
      <c r="E437" s="11">
        <v>68</v>
      </c>
      <c r="F437" s="11" t="s">
        <v>288</v>
      </c>
      <c r="G437" s="11" t="s">
        <v>298</v>
      </c>
      <c r="H437" s="11" t="s">
        <v>364</v>
      </c>
      <c r="I437" s="11" t="s">
        <v>464</v>
      </c>
      <c r="J437" s="11" t="s">
        <v>934</v>
      </c>
      <c r="K437" s="12">
        <v>45536</v>
      </c>
      <c r="L437" s="11" t="s">
        <v>1433</v>
      </c>
      <c r="M437" s="11" t="s">
        <v>1503</v>
      </c>
      <c r="N437" s="11">
        <v>363.64</v>
      </c>
      <c r="O437" s="11">
        <v>4</v>
      </c>
      <c r="P437" s="11" t="s">
        <v>1550</v>
      </c>
      <c r="Q437" s="11" t="str">
        <f>_xlfn.IFS(Augmented_Data!$P437="FLAT8","8%",Augmented_Data!$P437="FLAT10","10%",Augmented_Data!$P437="FLAT15","15%",Augmented_Data!$P437="FLAT20","20%",Augmented_Data!$P437="DEL0","0 delivery charge")</f>
        <v>20%</v>
      </c>
      <c r="R437" s="11">
        <v>2</v>
      </c>
      <c r="S437" s="11" t="str">
        <f>_xlfn.IFS(Augmented_Data!U437-Augmented_Data!K437=Augmented_Data!$R437,"Intime",Augmented_Data!U437-Augmented_Data!K437&lt;Augmented_Data!R437,"Before Time",Augmented_Data!U437-Augmented_Data!K437&gt;Augmented_Data!R437,"Late")</f>
        <v>Late</v>
      </c>
      <c r="T437" s="11">
        <v>42</v>
      </c>
      <c r="U437" s="12">
        <v>45540</v>
      </c>
      <c r="V437" s="11">
        <f>DATEDIF(Augmented_Data!$K437,Augmented_Data!$U437,"D")</f>
        <v>4</v>
      </c>
      <c r="W437" s="11" t="s">
        <v>1982</v>
      </c>
      <c r="X437" s="11">
        <f>Augmented_Data!$Z437-Augmented_Data!$AA437</f>
        <v>299.3119999999999</v>
      </c>
      <c r="Y437" s="11">
        <f>Augmented_Data!$N437*Augmented_Data!$O437</f>
        <v>1454.56</v>
      </c>
      <c r="Z437" s="11">
        <f>Augmented_Data!$Y437+Augmented_Data!$T437</f>
        <v>1496.56</v>
      </c>
      <c r="AA437" s="13">
        <f>IF(Augmented_Data!Q437="0 delivery charge",Augmented_Data!Z437-Augmented_Data!T437,Augmented_Data!Z437*(1-Augmented_Data!Q437))</f>
        <v>1197.248</v>
      </c>
    </row>
    <row r="438" spans="1:27" x14ac:dyDescent="0.3">
      <c r="A438" s="14" t="s">
        <v>48</v>
      </c>
      <c r="B438" s="14" t="str">
        <f>_xlfn.CONCAT(Augmented_Data!$C438," ",Augmented_Data!$D438)</f>
        <v>Heather Schneider</v>
      </c>
      <c r="C438" s="14" t="s">
        <v>146</v>
      </c>
      <c r="D438" s="14" t="s">
        <v>229</v>
      </c>
      <c r="E438" s="14">
        <v>48</v>
      </c>
      <c r="F438" s="14" t="s">
        <v>289</v>
      </c>
      <c r="G438" s="14" t="s">
        <v>296</v>
      </c>
      <c r="H438" s="14" t="s">
        <v>329</v>
      </c>
      <c r="I438" s="14" t="s">
        <v>429</v>
      </c>
      <c r="J438" s="14" t="s">
        <v>935</v>
      </c>
      <c r="K438" s="15">
        <v>45310</v>
      </c>
      <c r="L438" s="14" t="s">
        <v>1434</v>
      </c>
      <c r="M438" s="14" t="s">
        <v>1510</v>
      </c>
      <c r="N438" s="14">
        <v>220.27</v>
      </c>
      <c r="O438" s="14">
        <v>2</v>
      </c>
      <c r="P438" s="14" t="s">
        <v>1548</v>
      </c>
      <c r="Q438" s="14" t="str">
        <f>_xlfn.IFS(Augmented_Data!$P438="FLAT8","8%",Augmented_Data!$P438="FLAT10","10%",Augmented_Data!$P438="FLAT15","15%",Augmented_Data!$P438="FLAT20","20%",Augmented_Data!$P438="DEL0","0 delivery charge")</f>
        <v>15%</v>
      </c>
      <c r="R438" s="14">
        <v>7</v>
      </c>
      <c r="S438" s="14" t="str">
        <f>_xlfn.IFS(Augmented_Data!U438-Augmented_Data!K438=Augmented_Data!$R438,"Intime",Augmented_Data!U438-Augmented_Data!K438&lt;Augmented_Data!R438,"Before Time",Augmented_Data!U438-Augmented_Data!K438&gt;Augmented_Data!R438,"Late")</f>
        <v>Intime</v>
      </c>
      <c r="T438" s="14">
        <v>42</v>
      </c>
      <c r="U438" s="15">
        <v>45317</v>
      </c>
      <c r="V438" s="14">
        <f>DATEDIF(Augmented_Data!$K438,Augmented_Data!$U438,"D")</f>
        <v>7</v>
      </c>
      <c r="W438" s="14" t="s">
        <v>1983</v>
      </c>
      <c r="X438" s="14">
        <f>Augmented_Data!$Z438-Augmented_Data!$AA438</f>
        <v>72.381000000000029</v>
      </c>
      <c r="Y438" s="14">
        <f>Augmented_Data!$N438*Augmented_Data!$O438</f>
        <v>440.54</v>
      </c>
      <c r="Z438" s="14">
        <f>Augmented_Data!$Y438+Augmented_Data!$T438</f>
        <v>482.54</v>
      </c>
      <c r="AA438" s="16">
        <f>IF(Augmented_Data!Q438="0 delivery charge",Augmented_Data!Z438-Augmented_Data!T438,Augmented_Data!Z438*(1-Augmented_Data!Q438))</f>
        <v>410.15899999999999</v>
      </c>
    </row>
    <row r="439" spans="1:27" x14ac:dyDescent="0.3">
      <c r="A439" s="11" t="s">
        <v>84</v>
      </c>
      <c r="B439" s="11" t="str">
        <f>_xlfn.CONCAT(Augmented_Data!$C439," ",Augmented_Data!$D439)</f>
        <v>Kim Blevins</v>
      </c>
      <c r="C439" s="11" t="s">
        <v>174</v>
      </c>
      <c r="D439" s="11" t="s">
        <v>261</v>
      </c>
      <c r="E439" s="11">
        <v>65</v>
      </c>
      <c r="F439" s="11" t="s">
        <v>289</v>
      </c>
      <c r="G439" s="11" t="s">
        <v>296</v>
      </c>
      <c r="H439" s="11" t="s">
        <v>365</v>
      </c>
      <c r="I439" s="11" t="s">
        <v>465</v>
      </c>
      <c r="J439" s="11" t="s">
        <v>936</v>
      </c>
      <c r="K439" s="12">
        <v>45167</v>
      </c>
      <c r="L439" s="11" t="s">
        <v>1435</v>
      </c>
      <c r="M439" s="11" t="s">
        <v>1546</v>
      </c>
      <c r="N439" s="11">
        <v>33.49</v>
      </c>
      <c r="O439" s="11">
        <v>3</v>
      </c>
      <c r="P439" s="11" t="s">
        <v>1549</v>
      </c>
      <c r="Q439" s="11" t="str">
        <f>_xlfn.IFS(Augmented_Data!$P439="FLAT8","8%",Augmented_Data!$P439="FLAT10","10%",Augmented_Data!$P439="FLAT15","15%",Augmented_Data!$P439="FLAT20","20%",Augmented_Data!$P439="DEL0","0 delivery charge")</f>
        <v>10%</v>
      </c>
      <c r="R439" s="11">
        <v>1</v>
      </c>
      <c r="S439" s="11" t="str">
        <f>_xlfn.IFS(Augmented_Data!U439-Augmented_Data!K439=Augmented_Data!$R439,"Intime",Augmented_Data!U439-Augmented_Data!K439&lt;Augmented_Data!R439,"Before Time",Augmented_Data!U439-Augmented_Data!K439&gt;Augmented_Data!R439,"Late")</f>
        <v>Late</v>
      </c>
      <c r="T439" s="11">
        <v>50</v>
      </c>
      <c r="U439" s="12">
        <v>45172</v>
      </c>
      <c r="V439" s="11">
        <f>DATEDIF(Augmented_Data!$K439,Augmented_Data!$U439,"D")</f>
        <v>5</v>
      </c>
      <c r="W439" s="11" t="s">
        <v>1984</v>
      </c>
      <c r="X439" s="11">
        <f>Augmented_Data!$Z439-Augmented_Data!$AA439</f>
        <v>15.046999999999997</v>
      </c>
      <c r="Y439" s="11">
        <f>Augmented_Data!$N439*Augmented_Data!$O439</f>
        <v>100.47</v>
      </c>
      <c r="Z439" s="11">
        <f>Augmented_Data!$Y439+Augmented_Data!$T439</f>
        <v>150.47</v>
      </c>
      <c r="AA439" s="13">
        <f>IF(Augmented_Data!Q439="0 delivery charge",Augmented_Data!Z439-Augmented_Data!T439,Augmented_Data!Z439*(1-Augmented_Data!Q439))</f>
        <v>135.423</v>
      </c>
    </row>
    <row r="440" spans="1:27" x14ac:dyDescent="0.3">
      <c r="A440" s="14" t="s">
        <v>53</v>
      </c>
      <c r="B440" s="14" t="str">
        <f>_xlfn.CONCAT(Augmented_Data!$C440," ",Augmented_Data!$D440)</f>
        <v>Donna Oneill</v>
      </c>
      <c r="C440" s="14" t="s">
        <v>151</v>
      </c>
      <c r="D440" s="14" t="s">
        <v>234</v>
      </c>
      <c r="E440" s="14">
        <v>70</v>
      </c>
      <c r="F440" s="14" t="s">
        <v>288</v>
      </c>
      <c r="G440" s="14" t="s">
        <v>297</v>
      </c>
      <c r="H440" s="14" t="s">
        <v>334</v>
      </c>
      <c r="I440" s="14" t="s">
        <v>434</v>
      </c>
      <c r="J440" s="14" t="s">
        <v>937</v>
      </c>
      <c r="K440" s="15">
        <v>45145</v>
      </c>
      <c r="L440" s="14" t="s">
        <v>1436</v>
      </c>
      <c r="M440" s="14" t="s">
        <v>1524</v>
      </c>
      <c r="N440" s="14">
        <v>157.63999999999999</v>
      </c>
      <c r="O440" s="14">
        <v>2</v>
      </c>
      <c r="P440" s="14" t="s">
        <v>1549</v>
      </c>
      <c r="Q440" s="14" t="str">
        <f>_xlfn.IFS(Augmented_Data!$P440="FLAT8","8%",Augmented_Data!$P440="FLAT10","10%",Augmented_Data!$P440="FLAT15","15%",Augmented_Data!$P440="FLAT20","20%",Augmented_Data!$P440="DEL0","0 delivery charge")</f>
        <v>10%</v>
      </c>
      <c r="R440" s="14">
        <v>6</v>
      </c>
      <c r="S440" s="14" t="str">
        <f>_xlfn.IFS(Augmented_Data!U440-Augmented_Data!K440=Augmented_Data!$R440,"Intime",Augmented_Data!U440-Augmented_Data!K440&lt;Augmented_Data!R440,"Before Time",Augmented_Data!U440-Augmented_Data!K440&gt;Augmented_Data!R440,"Late")</f>
        <v>Before Time</v>
      </c>
      <c r="T440" s="14">
        <v>65</v>
      </c>
      <c r="U440" s="15">
        <v>45148</v>
      </c>
      <c r="V440" s="14">
        <f>DATEDIF(Augmented_Data!$K440,Augmented_Data!$U440,"D")</f>
        <v>3</v>
      </c>
      <c r="W440" s="14" t="s">
        <v>1985</v>
      </c>
      <c r="X440" s="14">
        <f>Augmented_Data!$Z440-Augmented_Data!$AA440</f>
        <v>38.027999999999963</v>
      </c>
      <c r="Y440" s="14">
        <f>Augmented_Data!$N440*Augmented_Data!$O440</f>
        <v>315.27999999999997</v>
      </c>
      <c r="Z440" s="14">
        <f>Augmented_Data!$Y440+Augmented_Data!$T440</f>
        <v>380.28</v>
      </c>
      <c r="AA440" s="16">
        <f>IF(Augmented_Data!Q440="0 delivery charge",Augmented_Data!Z440-Augmented_Data!T440,Augmented_Data!Z440*(1-Augmented_Data!Q440))</f>
        <v>342.25200000000001</v>
      </c>
    </row>
    <row r="441" spans="1:27" x14ac:dyDescent="0.3">
      <c r="A441" s="11" t="s">
        <v>33</v>
      </c>
      <c r="B441" s="11" t="str">
        <f>_xlfn.CONCAT(Augmented_Data!$C441," ",Augmented_Data!$D441)</f>
        <v>Erin Miller</v>
      </c>
      <c r="C441" s="11" t="s">
        <v>133</v>
      </c>
      <c r="D441" s="11" t="s">
        <v>215</v>
      </c>
      <c r="E441" s="11">
        <v>46</v>
      </c>
      <c r="F441" s="11" t="s">
        <v>288</v>
      </c>
      <c r="G441" s="11" t="s">
        <v>297</v>
      </c>
      <c r="H441" s="11" t="s">
        <v>314</v>
      </c>
      <c r="I441" s="11" t="s">
        <v>414</v>
      </c>
      <c r="J441" s="11" t="s">
        <v>938</v>
      </c>
      <c r="K441" s="12">
        <v>45010</v>
      </c>
      <c r="L441" s="11" t="s">
        <v>1437</v>
      </c>
      <c r="M441" s="11" t="s">
        <v>1499</v>
      </c>
      <c r="N441" s="11">
        <v>441.03</v>
      </c>
      <c r="O441" s="11">
        <v>5</v>
      </c>
      <c r="P441" s="11" t="s">
        <v>1550</v>
      </c>
      <c r="Q441" s="11" t="str">
        <f>_xlfn.IFS(Augmented_Data!$P441="FLAT8","8%",Augmented_Data!$P441="FLAT10","10%",Augmented_Data!$P441="FLAT15","15%",Augmented_Data!$P441="FLAT20","20%",Augmented_Data!$P441="DEL0","0 delivery charge")</f>
        <v>20%</v>
      </c>
      <c r="R441" s="11">
        <v>7</v>
      </c>
      <c r="S441" s="11" t="str">
        <f>_xlfn.IFS(Augmented_Data!U441-Augmented_Data!K441=Augmented_Data!$R441,"Intime",Augmented_Data!U441-Augmented_Data!K441&lt;Augmented_Data!R441,"Before Time",Augmented_Data!U441-Augmented_Data!K441&gt;Augmented_Data!R441,"Late")</f>
        <v>Before Time</v>
      </c>
      <c r="T441" s="11">
        <v>36</v>
      </c>
      <c r="U441" s="12">
        <v>45016</v>
      </c>
      <c r="V441" s="11">
        <f>DATEDIF(Augmented_Data!$K441,Augmented_Data!$U441,"D")</f>
        <v>6</v>
      </c>
      <c r="W441" s="11" t="s">
        <v>1986</v>
      </c>
      <c r="X441" s="11">
        <f>Augmented_Data!$Z441-Augmented_Data!$AA441</f>
        <v>448.22999999999979</v>
      </c>
      <c r="Y441" s="11">
        <f>Augmented_Data!$N441*Augmented_Data!$O441</f>
        <v>2205.1499999999996</v>
      </c>
      <c r="Z441" s="11">
        <f>Augmented_Data!$Y441+Augmented_Data!$T441</f>
        <v>2241.1499999999996</v>
      </c>
      <c r="AA441" s="13">
        <f>IF(Augmented_Data!Q441="0 delivery charge",Augmented_Data!Z441-Augmented_Data!T441,Augmented_Data!Z441*(1-Augmented_Data!Q441))</f>
        <v>1792.9199999999998</v>
      </c>
    </row>
    <row r="442" spans="1:27" x14ac:dyDescent="0.3">
      <c r="A442" s="14" t="s">
        <v>74</v>
      </c>
      <c r="B442" s="14" t="str">
        <f>_xlfn.CONCAT(Augmented_Data!$C442," ",Augmented_Data!$D442)</f>
        <v>Jodi Whitney</v>
      </c>
      <c r="C442" s="14" t="s">
        <v>167</v>
      </c>
      <c r="D442" s="14" t="s">
        <v>252</v>
      </c>
      <c r="E442" s="14">
        <v>33</v>
      </c>
      <c r="F442" s="14" t="s">
        <v>290</v>
      </c>
      <c r="G442" s="14" t="s">
        <v>297</v>
      </c>
      <c r="H442" s="14" t="s">
        <v>355</v>
      </c>
      <c r="I442" s="14" t="s">
        <v>455</v>
      </c>
      <c r="J442" s="14" t="s">
        <v>939</v>
      </c>
      <c r="K442" s="15">
        <v>45628</v>
      </c>
      <c r="L442" s="14" t="s">
        <v>1438</v>
      </c>
      <c r="M442" s="14" t="s">
        <v>1530</v>
      </c>
      <c r="N442" s="14">
        <v>369.03</v>
      </c>
      <c r="O442" s="14">
        <v>4</v>
      </c>
      <c r="P442" s="14" t="s">
        <v>2047</v>
      </c>
      <c r="Q442" s="14" t="str">
        <f>_xlfn.IFS(Augmented_Data!$P442="FLAT8","8%",Augmented_Data!$P442="FLAT10","10%",Augmented_Data!$P442="FLAT15","15%",Augmented_Data!$P442="FLAT20","20%",Augmented_Data!$P442="DEL0","0 delivery charge")</f>
        <v>8%</v>
      </c>
      <c r="R442" s="14">
        <v>5</v>
      </c>
      <c r="S442" s="14" t="str">
        <f>_xlfn.IFS(Augmented_Data!U442-Augmented_Data!K442=Augmented_Data!$R442,"Intime",Augmented_Data!U442-Augmented_Data!K442&lt;Augmented_Data!R442,"Before Time",Augmented_Data!U442-Augmented_Data!K442&gt;Augmented_Data!R442,"Late")</f>
        <v>Before Time</v>
      </c>
      <c r="T442" s="14">
        <v>48</v>
      </c>
      <c r="U442" s="15">
        <v>45629</v>
      </c>
      <c r="V442" s="14">
        <f>DATEDIF(Augmented_Data!$K442,Augmented_Data!$U442,"D")</f>
        <v>1</v>
      </c>
      <c r="W442" s="14" t="s">
        <v>1987</v>
      </c>
      <c r="X442" s="14">
        <f>Augmented_Data!$Z442-Augmented_Data!$AA442</f>
        <v>121.92959999999994</v>
      </c>
      <c r="Y442" s="14">
        <f>Augmented_Data!$N442*Augmented_Data!$O442</f>
        <v>1476.12</v>
      </c>
      <c r="Z442" s="14">
        <f>Augmented_Data!$Y442+Augmented_Data!$T442</f>
        <v>1524.12</v>
      </c>
      <c r="AA442" s="16">
        <f>IF(Augmented_Data!Q442="0 delivery charge",Augmented_Data!Z442-Augmented_Data!T442,Augmented_Data!Z442*(1-Augmented_Data!Q442))</f>
        <v>1402.1904</v>
      </c>
    </row>
    <row r="443" spans="1:27" x14ac:dyDescent="0.3">
      <c r="A443" s="11" t="s">
        <v>57</v>
      </c>
      <c r="B443" s="11" t="str">
        <f>_xlfn.CONCAT(Augmented_Data!$C443," ",Augmented_Data!$D443)</f>
        <v>Aaron Thompson</v>
      </c>
      <c r="C443" s="11" t="s">
        <v>155</v>
      </c>
      <c r="D443" s="11" t="s">
        <v>238</v>
      </c>
      <c r="E443" s="11">
        <v>47</v>
      </c>
      <c r="F443" s="11" t="s">
        <v>289</v>
      </c>
      <c r="G443" s="11" t="s">
        <v>296</v>
      </c>
      <c r="H443" s="11" t="s">
        <v>338</v>
      </c>
      <c r="I443" s="11" t="s">
        <v>438</v>
      </c>
      <c r="J443" s="11" t="s">
        <v>940</v>
      </c>
      <c r="K443" s="12">
        <v>45529</v>
      </c>
      <c r="L443" s="11" t="s">
        <v>1439</v>
      </c>
      <c r="M443" s="11" t="s">
        <v>1523</v>
      </c>
      <c r="N443" s="11">
        <v>129.75</v>
      </c>
      <c r="O443" s="11">
        <v>2</v>
      </c>
      <c r="P443" s="11" t="s">
        <v>1550</v>
      </c>
      <c r="Q443" s="11" t="str">
        <f>_xlfn.IFS(Augmented_Data!$P443="FLAT8","8%",Augmented_Data!$P443="FLAT10","10%",Augmented_Data!$P443="FLAT15","15%",Augmented_Data!$P443="FLAT20","20%",Augmented_Data!$P443="DEL0","0 delivery charge")</f>
        <v>20%</v>
      </c>
      <c r="R443" s="11">
        <v>5</v>
      </c>
      <c r="S443" s="11" t="str">
        <f>_xlfn.IFS(Augmented_Data!U443-Augmented_Data!K443=Augmented_Data!$R443,"Intime",Augmented_Data!U443-Augmented_Data!K443&lt;Augmented_Data!R443,"Before Time",Augmented_Data!U443-Augmented_Data!K443&gt;Augmented_Data!R443,"Late")</f>
        <v>Before Time</v>
      </c>
      <c r="T443" s="11">
        <v>47</v>
      </c>
      <c r="U443" s="12">
        <v>45532</v>
      </c>
      <c r="V443" s="11">
        <f>DATEDIF(Augmented_Data!$K443,Augmented_Data!$U443,"D")</f>
        <v>3</v>
      </c>
      <c r="W443" s="11" t="s">
        <v>1988</v>
      </c>
      <c r="X443" s="11">
        <f>Augmented_Data!$Z443-Augmented_Data!$AA443</f>
        <v>61.299999999999983</v>
      </c>
      <c r="Y443" s="11">
        <f>Augmented_Data!$N443*Augmented_Data!$O443</f>
        <v>259.5</v>
      </c>
      <c r="Z443" s="11">
        <f>Augmented_Data!$Y443+Augmented_Data!$T443</f>
        <v>306.5</v>
      </c>
      <c r="AA443" s="13">
        <f>IF(Augmented_Data!Q443="0 delivery charge",Augmented_Data!Z443-Augmented_Data!T443,Augmented_Data!Z443*(1-Augmented_Data!Q443))</f>
        <v>245.20000000000002</v>
      </c>
    </row>
    <row r="444" spans="1:27" x14ac:dyDescent="0.3">
      <c r="A444" s="14" t="s">
        <v>107</v>
      </c>
      <c r="B444" s="14" t="str">
        <f>_xlfn.CONCAT(Augmented_Data!$C444," ",Augmented_Data!$D444)</f>
        <v>Angela Casey</v>
      </c>
      <c r="C444" s="14" t="s">
        <v>122</v>
      </c>
      <c r="D444" s="14" t="s">
        <v>281</v>
      </c>
      <c r="E444" s="14">
        <v>40</v>
      </c>
      <c r="F444" s="14" t="s">
        <v>288</v>
      </c>
      <c r="G444" s="14" t="s">
        <v>295</v>
      </c>
      <c r="H444" s="14" t="s">
        <v>388</v>
      </c>
      <c r="I444" s="14" t="s">
        <v>488</v>
      </c>
      <c r="J444" s="14" t="s">
        <v>941</v>
      </c>
      <c r="K444" s="15">
        <v>45175</v>
      </c>
      <c r="L444" s="14" t="s">
        <v>1440</v>
      </c>
      <c r="M444" s="14" t="s">
        <v>1513</v>
      </c>
      <c r="N444" s="14">
        <v>20.7</v>
      </c>
      <c r="O444" s="14">
        <v>2</v>
      </c>
      <c r="P444" s="14" t="s">
        <v>2047</v>
      </c>
      <c r="Q444" s="14" t="str">
        <f>_xlfn.IFS(Augmented_Data!$P444="FLAT8","8%",Augmented_Data!$P444="FLAT10","10%",Augmented_Data!$P444="FLAT15","15%",Augmented_Data!$P444="FLAT20","20%",Augmented_Data!$P444="DEL0","0 delivery charge")</f>
        <v>8%</v>
      </c>
      <c r="R444" s="14">
        <v>5</v>
      </c>
      <c r="S444" s="14" t="str">
        <f>_xlfn.IFS(Augmented_Data!U444-Augmented_Data!K444=Augmented_Data!$R444,"Intime",Augmented_Data!U444-Augmented_Data!K444&lt;Augmented_Data!R444,"Before Time",Augmented_Data!U444-Augmented_Data!K444&gt;Augmented_Data!R444,"Late")</f>
        <v>Before Time</v>
      </c>
      <c r="T444" s="14">
        <v>61</v>
      </c>
      <c r="U444" s="15">
        <v>45177</v>
      </c>
      <c r="V444" s="14">
        <f>DATEDIF(Augmented_Data!$K444,Augmented_Data!$U444,"D")</f>
        <v>2</v>
      </c>
      <c r="W444" s="14" t="s">
        <v>1989</v>
      </c>
      <c r="X444" s="14">
        <f>Augmented_Data!$Z444-Augmented_Data!$AA444</f>
        <v>8.1919999999999931</v>
      </c>
      <c r="Y444" s="14">
        <f>Augmented_Data!$N444*Augmented_Data!$O444</f>
        <v>41.4</v>
      </c>
      <c r="Z444" s="14">
        <f>Augmented_Data!$Y444+Augmented_Data!$T444</f>
        <v>102.4</v>
      </c>
      <c r="AA444" s="16">
        <f>IF(Augmented_Data!Q444="0 delivery charge",Augmented_Data!Z444-Augmented_Data!T444,Augmented_Data!Z444*(1-Augmented_Data!Q444))</f>
        <v>94.208000000000013</v>
      </c>
    </row>
    <row r="445" spans="1:27" x14ac:dyDescent="0.3">
      <c r="A445" s="11" t="s">
        <v>88</v>
      </c>
      <c r="B445" s="11" t="str">
        <f>_xlfn.CONCAT(Augmented_Data!$C445," ",Augmented_Data!$D445)</f>
        <v>Lisa Miller</v>
      </c>
      <c r="C445" s="11" t="s">
        <v>178</v>
      </c>
      <c r="D445" s="11" t="s">
        <v>215</v>
      </c>
      <c r="E445" s="11">
        <v>70</v>
      </c>
      <c r="F445" s="11" t="s">
        <v>289</v>
      </c>
      <c r="G445" s="11" t="s">
        <v>296</v>
      </c>
      <c r="H445" s="11" t="s">
        <v>369</v>
      </c>
      <c r="I445" s="11" t="s">
        <v>469</v>
      </c>
      <c r="J445" s="11" t="s">
        <v>942</v>
      </c>
      <c r="K445" s="12">
        <v>45379</v>
      </c>
      <c r="L445" s="11" t="s">
        <v>1441</v>
      </c>
      <c r="M445" s="11" t="s">
        <v>1506</v>
      </c>
      <c r="N445" s="11">
        <v>372.62</v>
      </c>
      <c r="O445" s="11">
        <v>2</v>
      </c>
      <c r="P445" s="11" t="s">
        <v>1549</v>
      </c>
      <c r="Q445" s="11" t="str">
        <f>_xlfn.IFS(Augmented_Data!$P445="FLAT8","8%",Augmented_Data!$P445="FLAT10","10%",Augmented_Data!$P445="FLAT15","15%",Augmented_Data!$P445="FLAT20","20%",Augmented_Data!$P445="DEL0","0 delivery charge")</f>
        <v>10%</v>
      </c>
      <c r="R445" s="11">
        <v>4</v>
      </c>
      <c r="S445" s="11" t="str">
        <f>_xlfn.IFS(Augmented_Data!U445-Augmented_Data!K445=Augmented_Data!$R445,"Intime",Augmented_Data!U445-Augmented_Data!K445&lt;Augmented_Data!R445,"Before Time",Augmented_Data!U445-Augmented_Data!K445&gt;Augmented_Data!R445,"Late")</f>
        <v>Before Time</v>
      </c>
      <c r="T445" s="11">
        <v>57</v>
      </c>
      <c r="U445" s="12">
        <v>45382</v>
      </c>
      <c r="V445" s="11">
        <f>DATEDIF(Augmented_Data!$K445,Augmented_Data!$U445,"D")</f>
        <v>3</v>
      </c>
      <c r="W445" s="11" t="s">
        <v>1990</v>
      </c>
      <c r="X445" s="11">
        <f>Augmented_Data!$Z445-Augmented_Data!$AA445</f>
        <v>80.223999999999933</v>
      </c>
      <c r="Y445" s="11">
        <f>Augmented_Data!$N445*Augmented_Data!$O445</f>
        <v>745.24</v>
      </c>
      <c r="Z445" s="11">
        <f>Augmented_Data!$Y445+Augmented_Data!$T445</f>
        <v>802.24</v>
      </c>
      <c r="AA445" s="13">
        <f>IF(Augmented_Data!Q445="0 delivery charge",Augmented_Data!Z445-Augmented_Data!T445,Augmented_Data!Z445*(1-Augmented_Data!Q445))</f>
        <v>722.01600000000008</v>
      </c>
    </row>
    <row r="446" spans="1:27" x14ac:dyDescent="0.3">
      <c r="A446" s="14" t="s">
        <v>116</v>
      </c>
      <c r="B446" s="14" t="str">
        <f>_xlfn.CONCAT(Augmented_Data!$C446," ",Augmented_Data!$D446)</f>
        <v>Gary Jacobs</v>
      </c>
      <c r="C446" s="14" t="s">
        <v>191</v>
      </c>
      <c r="D446" s="14" t="s">
        <v>286</v>
      </c>
      <c r="E446" s="14">
        <v>64</v>
      </c>
      <c r="F446" s="14" t="s">
        <v>289</v>
      </c>
      <c r="G446" s="14" t="s">
        <v>295</v>
      </c>
      <c r="H446" s="14" t="s">
        <v>397</v>
      </c>
      <c r="I446" s="14" t="s">
        <v>497</v>
      </c>
      <c r="J446" s="14" t="s">
        <v>943</v>
      </c>
      <c r="K446" s="15">
        <v>45633</v>
      </c>
      <c r="L446" s="14" t="s">
        <v>1442</v>
      </c>
      <c r="M446" s="14" t="s">
        <v>1544</v>
      </c>
      <c r="N446" s="14">
        <v>107.47</v>
      </c>
      <c r="O446" s="14">
        <v>4</v>
      </c>
      <c r="P446" s="14" t="s">
        <v>1550</v>
      </c>
      <c r="Q446" s="14" t="str">
        <f>_xlfn.IFS(Augmented_Data!$P446="FLAT8","8%",Augmented_Data!$P446="FLAT10","10%",Augmented_Data!$P446="FLAT15","15%",Augmented_Data!$P446="FLAT20","20%",Augmented_Data!$P446="DEL0","0 delivery charge")</f>
        <v>20%</v>
      </c>
      <c r="R446" s="14">
        <v>5</v>
      </c>
      <c r="S446" s="14" t="str">
        <f>_xlfn.IFS(Augmented_Data!U446-Augmented_Data!K446=Augmented_Data!$R446,"Intime",Augmented_Data!U446-Augmented_Data!K446&lt;Augmented_Data!R446,"Before Time",Augmented_Data!U446-Augmented_Data!K446&gt;Augmented_Data!R446,"Late")</f>
        <v>Before Time</v>
      </c>
      <c r="T446" s="14">
        <v>42</v>
      </c>
      <c r="U446" s="15">
        <v>45637</v>
      </c>
      <c r="V446" s="14">
        <f>DATEDIF(Augmented_Data!$K446,Augmented_Data!$U446,"D")</f>
        <v>4</v>
      </c>
      <c r="W446" s="14" t="s">
        <v>1991</v>
      </c>
      <c r="X446" s="14">
        <f>Augmented_Data!$Z446-Augmented_Data!$AA446</f>
        <v>94.375999999999976</v>
      </c>
      <c r="Y446" s="14">
        <f>Augmented_Data!$N446*Augmented_Data!$O446</f>
        <v>429.88</v>
      </c>
      <c r="Z446" s="14">
        <f>Augmented_Data!$Y446+Augmented_Data!$T446</f>
        <v>471.88</v>
      </c>
      <c r="AA446" s="16">
        <f>IF(Augmented_Data!Q446="0 delivery charge",Augmented_Data!Z446-Augmented_Data!T446,Augmented_Data!Z446*(1-Augmented_Data!Q446))</f>
        <v>377.50400000000002</v>
      </c>
    </row>
    <row r="447" spans="1:27" x14ac:dyDescent="0.3">
      <c r="A447" s="11" t="s">
        <v>116</v>
      </c>
      <c r="B447" s="11" t="str">
        <f>_xlfn.CONCAT(Augmented_Data!$C447," ",Augmented_Data!$D447)</f>
        <v>Gary Jacobs</v>
      </c>
      <c r="C447" s="11" t="s">
        <v>191</v>
      </c>
      <c r="D447" s="11" t="s">
        <v>286</v>
      </c>
      <c r="E447" s="11">
        <v>64</v>
      </c>
      <c r="F447" s="11" t="s">
        <v>289</v>
      </c>
      <c r="G447" s="11" t="s">
        <v>295</v>
      </c>
      <c r="H447" s="11" t="s">
        <v>397</v>
      </c>
      <c r="I447" s="11" t="s">
        <v>497</v>
      </c>
      <c r="J447" s="11" t="s">
        <v>944</v>
      </c>
      <c r="K447" s="12">
        <v>45539</v>
      </c>
      <c r="L447" s="11" t="s">
        <v>1443</v>
      </c>
      <c r="M447" s="11" t="s">
        <v>1497</v>
      </c>
      <c r="N447" s="11">
        <v>308.88</v>
      </c>
      <c r="O447" s="11">
        <v>2</v>
      </c>
      <c r="P447" s="11" t="s">
        <v>1550</v>
      </c>
      <c r="Q447" s="11" t="str">
        <f>_xlfn.IFS(Augmented_Data!$P447="FLAT8","8%",Augmented_Data!$P447="FLAT10","10%",Augmented_Data!$P447="FLAT15","15%",Augmented_Data!$P447="FLAT20","20%",Augmented_Data!$P447="DEL0","0 delivery charge")</f>
        <v>20%</v>
      </c>
      <c r="R447" s="11">
        <v>2</v>
      </c>
      <c r="S447" s="11" t="str">
        <f>_xlfn.IFS(Augmented_Data!U447-Augmented_Data!K447=Augmented_Data!$R447,"Intime",Augmented_Data!U447-Augmented_Data!K447&lt;Augmented_Data!R447,"Before Time",Augmented_Data!U447-Augmented_Data!K447&gt;Augmented_Data!R447,"Late")</f>
        <v>Intime</v>
      </c>
      <c r="T447" s="11">
        <v>55</v>
      </c>
      <c r="U447" s="12">
        <v>45541</v>
      </c>
      <c r="V447" s="11">
        <f>DATEDIF(Augmented_Data!$K447,Augmented_Data!$U447,"D")</f>
        <v>2</v>
      </c>
      <c r="W447" s="11" t="s">
        <v>1992</v>
      </c>
      <c r="X447" s="11">
        <f>Augmented_Data!$Z447-Augmented_Data!$AA447</f>
        <v>134.55200000000002</v>
      </c>
      <c r="Y447" s="11">
        <f>Augmented_Data!$N447*Augmented_Data!$O447</f>
        <v>617.76</v>
      </c>
      <c r="Z447" s="11">
        <f>Augmented_Data!$Y447+Augmented_Data!$T447</f>
        <v>672.76</v>
      </c>
      <c r="AA447" s="13">
        <f>IF(Augmented_Data!Q447="0 delivery charge",Augmented_Data!Z447-Augmented_Data!T447,Augmented_Data!Z447*(1-Augmented_Data!Q447))</f>
        <v>538.20799999999997</v>
      </c>
    </row>
    <row r="448" spans="1:27" x14ac:dyDescent="0.3">
      <c r="A448" s="14" t="s">
        <v>19</v>
      </c>
      <c r="B448" s="14" t="str">
        <f>_xlfn.CONCAT(Augmented_Data!$C448," ",Augmented_Data!$D448)</f>
        <v>Anthony Thomas</v>
      </c>
      <c r="C448" s="14" t="s">
        <v>119</v>
      </c>
      <c r="D448" s="14" t="s">
        <v>154</v>
      </c>
      <c r="E448" s="14">
        <v>53</v>
      </c>
      <c r="F448" s="14" t="s">
        <v>289</v>
      </c>
      <c r="G448" s="14" t="s">
        <v>292</v>
      </c>
      <c r="H448" s="14" t="s">
        <v>300</v>
      </c>
      <c r="I448" s="14" t="s">
        <v>400</v>
      </c>
      <c r="J448" s="14" t="s">
        <v>945</v>
      </c>
      <c r="K448" s="15">
        <v>45684</v>
      </c>
      <c r="L448" s="14" t="s">
        <v>1444</v>
      </c>
      <c r="M448" s="14" t="s">
        <v>1520</v>
      </c>
      <c r="N448" s="14">
        <v>62.42</v>
      </c>
      <c r="O448" s="14">
        <v>5</v>
      </c>
      <c r="P448" s="14" t="s">
        <v>1548</v>
      </c>
      <c r="Q448" s="14" t="str">
        <f>_xlfn.IFS(Augmented_Data!$P448="FLAT8","8%",Augmented_Data!$P448="FLAT10","10%",Augmented_Data!$P448="FLAT15","15%",Augmented_Data!$P448="FLAT20","20%",Augmented_Data!$P448="DEL0","0 delivery charge")</f>
        <v>15%</v>
      </c>
      <c r="R448" s="14">
        <v>6</v>
      </c>
      <c r="S448" s="14" t="str">
        <f>_xlfn.IFS(Augmented_Data!U448-Augmented_Data!K448=Augmented_Data!$R448,"Intime",Augmented_Data!U448-Augmented_Data!K448&lt;Augmented_Data!R448,"Before Time",Augmented_Data!U448-Augmented_Data!K448&gt;Augmented_Data!R448,"Late")</f>
        <v>Intime</v>
      </c>
      <c r="T448" s="14">
        <v>69</v>
      </c>
      <c r="U448" s="15">
        <v>45690</v>
      </c>
      <c r="V448" s="14">
        <f>DATEDIF(Augmented_Data!$K448,Augmented_Data!$U448,"D")</f>
        <v>6</v>
      </c>
      <c r="W448" s="14" t="s">
        <v>1993</v>
      </c>
      <c r="X448" s="14">
        <f>Augmented_Data!$Z448-Augmented_Data!$AA448</f>
        <v>57.16500000000002</v>
      </c>
      <c r="Y448" s="14">
        <f>Augmented_Data!$N448*Augmented_Data!$O448</f>
        <v>312.10000000000002</v>
      </c>
      <c r="Z448" s="14">
        <f>Augmented_Data!$Y448+Augmented_Data!$T448</f>
        <v>381.1</v>
      </c>
      <c r="AA448" s="16">
        <f>IF(Augmented_Data!Q448="0 delivery charge",Augmented_Data!Z448-Augmented_Data!T448,Augmented_Data!Z448*(1-Augmented_Data!Q448))</f>
        <v>323.935</v>
      </c>
    </row>
    <row r="449" spans="1:27" x14ac:dyDescent="0.3">
      <c r="A449" s="11" t="s">
        <v>63</v>
      </c>
      <c r="B449" s="11" t="str">
        <f>_xlfn.CONCAT(Augmented_Data!$C449," ",Augmented_Data!$D449)</f>
        <v>Lauren Crane</v>
      </c>
      <c r="C449" s="11" t="s">
        <v>144</v>
      </c>
      <c r="D449" s="11" t="s">
        <v>244</v>
      </c>
      <c r="E449" s="11">
        <v>62</v>
      </c>
      <c r="F449" s="11" t="s">
        <v>289</v>
      </c>
      <c r="G449" s="11" t="s">
        <v>292</v>
      </c>
      <c r="H449" s="11" t="s">
        <v>344</v>
      </c>
      <c r="I449" s="11" t="s">
        <v>444</v>
      </c>
      <c r="J449" s="11" t="s">
        <v>862</v>
      </c>
      <c r="K449" s="12">
        <v>45429</v>
      </c>
      <c r="L449" s="11" t="s">
        <v>1362</v>
      </c>
      <c r="M449" s="11" t="s">
        <v>1531</v>
      </c>
      <c r="N449" s="11">
        <v>286.07</v>
      </c>
      <c r="O449" s="11">
        <v>1</v>
      </c>
      <c r="P449" s="11" t="s">
        <v>1547</v>
      </c>
      <c r="Q449" s="11" t="str">
        <f>_xlfn.IFS(Augmented_Data!$P449="FLAT8","8%",Augmented_Data!$P449="FLAT10","10%",Augmented_Data!$P449="FLAT15","15%",Augmented_Data!$P449="FLAT20","20%",Augmented_Data!$P449="DEL0","0 delivery charge")</f>
        <v>0 delivery charge</v>
      </c>
      <c r="R449" s="11">
        <v>4</v>
      </c>
      <c r="S449" s="11" t="str">
        <f>_xlfn.IFS(Augmented_Data!U449-Augmented_Data!K449=Augmented_Data!$R449,"Intime",Augmented_Data!U449-Augmented_Data!K449&lt;Augmented_Data!R449,"Before Time",Augmented_Data!U449-Augmented_Data!K449&gt;Augmented_Data!R449,"Late")</f>
        <v>Late</v>
      </c>
      <c r="T449" s="11">
        <v>43</v>
      </c>
      <c r="U449" s="12">
        <v>45434</v>
      </c>
      <c r="V449" s="11">
        <f>DATEDIF(Augmented_Data!$K449,Augmented_Data!$U449,"D")</f>
        <v>5</v>
      </c>
      <c r="W449" s="11" t="s">
        <v>1913</v>
      </c>
      <c r="X449" s="11">
        <f>Augmented_Data!$Z449-Augmented_Data!$AA449</f>
        <v>43</v>
      </c>
      <c r="Y449" s="11">
        <f>Augmented_Data!$N449*Augmented_Data!$O449</f>
        <v>286.07</v>
      </c>
      <c r="Z449" s="11">
        <f>Augmented_Data!$Y449+Augmented_Data!$T449</f>
        <v>329.07</v>
      </c>
      <c r="AA449" s="13">
        <f>IF(Augmented_Data!Q449="0 delivery charge",Augmented_Data!Z449-Augmented_Data!T449,Augmented_Data!Z449*(1-Augmented_Data!Q449))</f>
        <v>286.07</v>
      </c>
    </row>
    <row r="450" spans="1:27" x14ac:dyDescent="0.3">
      <c r="A450" s="14" t="s">
        <v>116</v>
      </c>
      <c r="B450" s="14" t="str">
        <f>_xlfn.CONCAT(Augmented_Data!$C450," ",Augmented_Data!$D450)</f>
        <v>Gary Jacobs</v>
      </c>
      <c r="C450" s="14" t="s">
        <v>191</v>
      </c>
      <c r="D450" s="14" t="s">
        <v>286</v>
      </c>
      <c r="E450" s="14">
        <v>64</v>
      </c>
      <c r="F450" s="14" t="s">
        <v>289</v>
      </c>
      <c r="G450" s="14" t="s">
        <v>295</v>
      </c>
      <c r="H450" s="14" t="s">
        <v>397</v>
      </c>
      <c r="I450" s="14" t="s">
        <v>497</v>
      </c>
      <c r="J450" s="14" t="s">
        <v>947</v>
      </c>
      <c r="K450" s="15">
        <v>45379</v>
      </c>
      <c r="L450" s="14" t="s">
        <v>1446</v>
      </c>
      <c r="M450" s="14" t="s">
        <v>1498</v>
      </c>
      <c r="N450" s="14">
        <v>166.28</v>
      </c>
      <c r="O450" s="14">
        <v>2</v>
      </c>
      <c r="P450" s="14" t="s">
        <v>1550</v>
      </c>
      <c r="Q450" s="14" t="str">
        <f>_xlfn.IFS(Augmented_Data!$P450="FLAT8","8%",Augmented_Data!$P450="FLAT10","10%",Augmented_Data!$P450="FLAT15","15%",Augmented_Data!$P450="FLAT20","20%",Augmented_Data!$P450="DEL0","0 delivery charge")</f>
        <v>20%</v>
      </c>
      <c r="R450" s="14">
        <v>4</v>
      </c>
      <c r="S450" s="14" t="str">
        <f>_xlfn.IFS(Augmented_Data!U450-Augmented_Data!K450=Augmented_Data!$R450,"Intime",Augmented_Data!U450-Augmented_Data!K450&lt;Augmented_Data!R450,"Before Time",Augmented_Data!U450-Augmented_Data!K450&gt;Augmented_Data!R450,"Late")</f>
        <v>Late</v>
      </c>
      <c r="T450" s="14">
        <v>40</v>
      </c>
      <c r="U450" s="15">
        <v>45384</v>
      </c>
      <c r="V450" s="14">
        <f>DATEDIF(Augmented_Data!$K450,Augmented_Data!$U450,"D")</f>
        <v>5</v>
      </c>
      <c r="W450" s="14" t="s">
        <v>1995</v>
      </c>
      <c r="X450" s="14">
        <f>Augmented_Data!$Z450-Augmented_Data!$AA450</f>
        <v>74.512</v>
      </c>
      <c r="Y450" s="14">
        <f>Augmented_Data!$N450*Augmented_Data!$O450</f>
        <v>332.56</v>
      </c>
      <c r="Z450" s="14">
        <f>Augmented_Data!$Y450+Augmented_Data!$T450</f>
        <v>372.56</v>
      </c>
      <c r="AA450" s="16">
        <f>IF(Augmented_Data!Q450="0 delivery charge",Augmented_Data!Z450-Augmented_Data!T450,Augmented_Data!Z450*(1-Augmented_Data!Q450))</f>
        <v>298.048</v>
      </c>
    </row>
    <row r="451" spans="1:27" x14ac:dyDescent="0.3">
      <c r="A451" s="11" t="s">
        <v>77</v>
      </c>
      <c r="B451" s="11" t="str">
        <f>_xlfn.CONCAT(Augmented_Data!$C451," ",Augmented_Data!$D451)</f>
        <v>William Mann</v>
      </c>
      <c r="C451" s="11" t="s">
        <v>169</v>
      </c>
      <c r="D451" s="11" t="s">
        <v>255</v>
      </c>
      <c r="E451" s="11">
        <v>21</v>
      </c>
      <c r="F451" s="11" t="s">
        <v>288</v>
      </c>
      <c r="G451" s="11" t="s">
        <v>292</v>
      </c>
      <c r="H451" s="11" t="s">
        <v>358</v>
      </c>
      <c r="I451" s="11" t="s">
        <v>458</v>
      </c>
      <c r="J451" s="11" t="s">
        <v>948</v>
      </c>
      <c r="K451" s="12">
        <v>45638</v>
      </c>
      <c r="L451" s="11" t="s">
        <v>1447</v>
      </c>
      <c r="M451" s="11" t="s">
        <v>1538</v>
      </c>
      <c r="N451" s="11">
        <v>433.62</v>
      </c>
      <c r="O451" s="11">
        <v>2</v>
      </c>
      <c r="P451" s="11" t="s">
        <v>1549</v>
      </c>
      <c r="Q451" s="11" t="str">
        <f>_xlfn.IFS(Augmented_Data!$P451="FLAT8","8%",Augmented_Data!$P451="FLAT10","10%",Augmented_Data!$P451="FLAT15","15%",Augmented_Data!$P451="FLAT20","20%",Augmented_Data!$P451="DEL0","0 delivery charge")</f>
        <v>10%</v>
      </c>
      <c r="R451" s="11">
        <v>7</v>
      </c>
      <c r="S451" s="11" t="str">
        <f>_xlfn.IFS(Augmented_Data!U451-Augmented_Data!K451=Augmented_Data!$R451,"Intime",Augmented_Data!U451-Augmented_Data!K451&lt;Augmented_Data!R451,"Before Time",Augmented_Data!U451-Augmented_Data!K451&gt;Augmented_Data!R451,"Late")</f>
        <v>Before Time</v>
      </c>
      <c r="T451" s="11">
        <v>39</v>
      </c>
      <c r="U451" s="12">
        <v>45644</v>
      </c>
      <c r="V451" s="11">
        <f>DATEDIF(Augmented_Data!$K451,Augmented_Data!$U451,"D")</f>
        <v>6</v>
      </c>
      <c r="W451" s="11" t="s">
        <v>1996</v>
      </c>
      <c r="X451" s="11">
        <f>Augmented_Data!$Z451-Augmented_Data!$AA451</f>
        <v>90.624000000000024</v>
      </c>
      <c r="Y451" s="11">
        <f>Augmented_Data!$N451*Augmented_Data!$O451</f>
        <v>867.24</v>
      </c>
      <c r="Z451" s="11">
        <f>Augmented_Data!$Y451+Augmented_Data!$T451</f>
        <v>906.24</v>
      </c>
      <c r="AA451" s="13">
        <f>IF(Augmented_Data!Q451="0 delivery charge",Augmented_Data!Z451-Augmented_Data!T451,Augmented_Data!Z451*(1-Augmented_Data!Q451))</f>
        <v>815.61599999999999</v>
      </c>
    </row>
    <row r="452" spans="1:27" x14ac:dyDescent="0.3">
      <c r="A452" s="14" t="s">
        <v>56</v>
      </c>
      <c r="B452" s="14" t="str">
        <f>_xlfn.CONCAT(Augmented_Data!$C452," ",Augmented_Data!$D452)</f>
        <v>Thomas Andersen</v>
      </c>
      <c r="C452" s="14" t="s">
        <v>154</v>
      </c>
      <c r="D452" s="14" t="s">
        <v>237</v>
      </c>
      <c r="E452" s="14">
        <v>50</v>
      </c>
      <c r="F452" s="14" t="s">
        <v>290</v>
      </c>
      <c r="G452" s="14" t="s">
        <v>294</v>
      </c>
      <c r="H452" s="14" t="s">
        <v>337</v>
      </c>
      <c r="I452" s="14" t="s">
        <v>437</v>
      </c>
      <c r="J452" s="14" t="s">
        <v>949</v>
      </c>
      <c r="K452" s="15">
        <v>45149</v>
      </c>
      <c r="L452" s="14" t="s">
        <v>1448</v>
      </c>
      <c r="M452" s="14" t="s">
        <v>1526</v>
      </c>
      <c r="N452" s="14">
        <v>405</v>
      </c>
      <c r="O452" s="14">
        <v>3</v>
      </c>
      <c r="P452" s="14" t="s">
        <v>1549</v>
      </c>
      <c r="Q452" s="14" t="str">
        <f>_xlfn.IFS(Augmented_Data!$P452="FLAT8","8%",Augmented_Data!$P452="FLAT10","10%",Augmented_Data!$P452="FLAT15","15%",Augmented_Data!$P452="FLAT20","20%",Augmented_Data!$P452="DEL0","0 delivery charge")</f>
        <v>10%</v>
      </c>
      <c r="R452" s="14">
        <v>6</v>
      </c>
      <c r="S452" s="14" t="str">
        <f>_xlfn.IFS(Augmented_Data!U452-Augmented_Data!K452=Augmented_Data!$R452,"Intime",Augmented_Data!U452-Augmented_Data!K452&lt;Augmented_Data!R452,"Before Time",Augmented_Data!U452-Augmented_Data!K452&gt;Augmented_Data!R452,"Late")</f>
        <v>Before Time</v>
      </c>
      <c r="T452" s="14">
        <v>36</v>
      </c>
      <c r="U452" s="15">
        <v>45153</v>
      </c>
      <c r="V452" s="14">
        <f>DATEDIF(Augmented_Data!$K452,Augmented_Data!$U452,"D")</f>
        <v>4</v>
      </c>
      <c r="W452" s="14" t="s">
        <v>1997</v>
      </c>
      <c r="X452" s="14">
        <f>Augmented_Data!$Z452-Augmented_Data!$AA452</f>
        <v>125.09999999999991</v>
      </c>
      <c r="Y452" s="14">
        <f>Augmented_Data!$N452*Augmented_Data!$O452</f>
        <v>1215</v>
      </c>
      <c r="Z452" s="14">
        <f>Augmented_Data!$Y452+Augmented_Data!$T452</f>
        <v>1251</v>
      </c>
      <c r="AA452" s="16">
        <f>IF(Augmented_Data!Q452="0 delivery charge",Augmented_Data!Z452-Augmented_Data!T452,Augmented_Data!Z452*(1-Augmented_Data!Q452))</f>
        <v>1125.9000000000001</v>
      </c>
    </row>
    <row r="453" spans="1:27" x14ac:dyDescent="0.3">
      <c r="A453" s="11" t="s">
        <v>19</v>
      </c>
      <c r="B453" s="11" t="str">
        <f>_xlfn.CONCAT(Augmented_Data!$C453," ",Augmented_Data!$D453)</f>
        <v>Anthony Thomas</v>
      </c>
      <c r="C453" s="11" t="s">
        <v>119</v>
      </c>
      <c r="D453" s="11" t="s">
        <v>154</v>
      </c>
      <c r="E453" s="11">
        <v>53</v>
      </c>
      <c r="F453" s="11" t="s">
        <v>289</v>
      </c>
      <c r="G453" s="11" t="s">
        <v>292</v>
      </c>
      <c r="H453" s="11" t="s">
        <v>300</v>
      </c>
      <c r="I453" s="11" t="s">
        <v>400</v>
      </c>
      <c r="J453" s="11" t="s">
        <v>950</v>
      </c>
      <c r="K453" s="12">
        <v>45076</v>
      </c>
      <c r="L453" s="11" t="s">
        <v>1449</v>
      </c>
      <c r="M453" s="11" t="s">
        <v>1501</v>
      </c>
      <c r="N453" s="11">
        <v>330.11</v>
      </c>
      <c r="O453" s="11">
        <v>3</v>
      </c>
      <c r="P453" s="11" t="s">
        <v>1550</v>
      </c>
      <c r="Q453" s="11" t="str">
        <f>_xlfn.IFS(Augmented_Data!$P453="FLAT8","8%",Augmented_Data!$P453="FLAT10","10%",Augmented_Data!$P453="FLAT15","15%",Augmented_Data!$P453="FLAT20","20%",Augmented_Data!$P453="DEL0","0 delivery charge")</f>
        <v>20%</v>
      </c>
      <c r="R453" s="11">
        <v>7</v>
      </c>
      <c r="S453" s="11" t="str">
        <f>_xlfn.IFS(Augmented_Data!U453-Augmented_Data!K453=Augmented_Data!$R453,"Intime",Augmented_Data!U453-Augmented_Data!K453&lt;Augmented_Data!R453,"Before Time",Augmented_Data!U453-Augmented_Data!K453&gt;Augmented_Data!R453,"Late")</f>
        <v>Before Time</v>
      </c>
      <c r="T453" s="11">
        <v>40</v>
      </c>
      <c r="U453" s="12">
        <v>45080</v>
      </c>
      <c r="V453" s="11">
        <f>DATEDIF(Augmented_Data!$K453,Augmented_Data!$U453,"D")</f>
        <v>4</v>
      </c>
      <c r="W453" s="11" t="s">
        <v>1998</v>
      </c>
      <c r="X453" s="11">
        <f>Augmented_Data!$Z453-Augmented_Data!$AA453</f>
        <v>206.06599999999992</v>
      </c>
      <c r="Y453" s="11">
        <f>Augmented_Data!$N453*Augmented_Data!$O453</f>
        <v>990.33</v>
      </c>
      <c r="Z453" s="11">
        <f>Augmented_Data!$Y453+Augmented_Data!$T453</f>
        <v>1030.33</v>
      </c>
      <c r="AA453" s="13">
        <f>IF(Augmented_Data!Q453="0 delivery charge",Augmented_Data!Z453-Augmented_Data!T453,Augmented_Data!Z453*(1-Augmented_Data!Q453))</f>
        <v>824.26400000000001</v>
      </c>
    </row>
    <row r="454" spans="1:27" x14ac:dyDescent="0.3">
      <c r="A454" s="14" t="s">
        <v>101</v>
      </c>
      <c r="B454" s="14" t="str">
        <f>_xlfn.CONCAT(Augmented_Data!$C454," ",Augmented_Data!$D454)</f>
        <v>Regina Hawkins</v>
      </c>
      <c r="C454" s="14" t="s">
        <v>189</v>
      </c>
      <c r="D454" s="14" t="s">
        <v>275</v>
      </c>
      <c r="E454" s="14">
        <v>47</v>
      </c>
      <c r="F454" s="14" t="s">
        <v>289</v>
      </c>
      <c r="G454" s="14" t="s">
        <v>291</v>
      </c>
      <c r="H454" s="14" t="s">
        <v>382</v>
      </c>
      <c r="I454" s="14" t="s">
        <v>482</v>
      </c>
      <c r="J454" s="14" t="s">
        <v>791</v>
      </c>
      <c r="K454" s="15">
        <v>45380</v>
      </c>
      <c r="L454" s="14" t="s">
        <v>1291</v>
      </c>
      <c r="M454" s="14" t="s">
        <v>1501</v>
      </c>
      <c r="N454" s="14">
        <v>330.11</v>
      </c>
      <c r="O454" s="14">
        <v>1</v>
      </c>
      <c r="P454" s="14" t="s">
        <v>1549</v>
      </c>
      <c r="Q454" s="14" t="str">
        <f>_xlfn.IFS(Augmented_Data!$P454="FLAT8","8%",Augmented_Data!$P454="FLAT10","10%",Augmented_Data!$P454="FLAT15","15%",Augmented_Data!$P454="FLAT20","20%",Augmented_Data!$P454="DEL0","0 delivery charge")</f>
        <v>10%</v>
      </c>
      <c r="R454" s="14">
        <v>4</v>
      </c>
      <c r="S454" s="14" t="str">
        <f>_xlfn.IFS(Augmented_Data!U454-Augmented_Data!K454=Augmented_Data!$R454,"Intime",Augmented_Data!U454-Augmented_Data!K454&lt;Augmented_Data!R454,"Before Time",Augmented_Data!U454-Augmented_Data!K454&gt;Augmented_Data!R454,"Late")</f>
        <v>Intime</v>
      </c>
      <c r="T454" s="14">
        <v>39</v>
      </c>
      <c r="U454" s="15">
        <v>45384</v>
      </c>
      <c r="V454" s="14">
        <f>DATEDIF(Augmented_Data!$K454,Augmented_Data!$U454,"D")</f>
        <v>4</v>
      </c>
      <c r="W454" s="14" t="s">
        <v>1842</v>
      </c>
      <c r="X454" s="14">
        <f>Augmented_Data!$Z454-Augmented_Data!$AA454</f>
        <v>36.911000000000001</v>
      </c>
      <c r="Y454" s="14">
        <f>Augmented_Data!$N454*Augmented_Data!$O454</f>
        <v>330.11</v>
      </c>
      <c r="Z454" s="14">
        <f>Augmented_Data!$Y454+Augmented_Data!$T454</f>
        <v>369.11</v>
      </c>
      <c r="AA454" s="16">
        <f>IF(Augmented_Data!Q454="0 delivery charge",Augmented_Data!Z454-Augmented_Data!T454,Augmented_Data!Z454*(1-Augmented_Data!Q454))</f>
        <v>332.19900000000001</v>
      </c>
    </row>
    <row r="455" spans="1:27" x14ac:dyDescent="0.3">
      <c r="A455" s="11" t="s">
        <v>117</v>
      </c>
      <c r="B455" s="11" t="str">
        <f>_xlfn.CONCAT(Augmented_Data!$C455," ",Augmented_Data!$D455)</f>
        <v>Janice Gordon</v>
      </c>
      <c r="C455" s="11" t="s">
        <v>199</v>
      </c>
      <c r="D455" s="11" t="s">
        <v>287</v>
      </c>
      <c r="E455" s="11">
        <v>43</v>
      </c>
      <c r="F455" s="11" t="s">
        <v>288</v>
      </c>
      <c r="G455" s="11" t="s">
        <v>292</v>
      </c>
      <c r="H455" s="11" t="s">
        <v>398</v>
      </c>
      <c r="I455" s="11" t="s">
        <v>498</v>
      </c>
      <c r="J455" s="11" t="s">
        <v>952</v>
      </c>
      <c r="K455" s="12">
        <v>45571</v>
      </c>
      <c r="L455" s="11" t="s">
        <v>1451</v>
      </c>
      <c r="M455" s="11" t="s">
        <v>1537</v>
      </c>
      <c r="N455" s="11">
        <v>445.81</v>
      </c>
      <c r="O455" s="11">
        <v>2</v>
      </c>
      <c r="P455" s="11" t="s">
        <v>1548</v>
      </c>
      <c r="Q455" s="11" t="str">
        <f>_xlfn.IFS(Augmented_Data!$P455="FLAT8","8%",Augmented_Data!$P455="FLAT10","10%",Augmented_Data!$P455="FLAT15","15%",Augmented_Data!$P455="FLAT20","20%",Augmented_Data!$P455="DEL0","0 delivery charge")</f>
        <v>15%</v>
      </c>
      <c r="R455" s="11">
        <v>4</v>
      </c>
      <c r="S455" s="11" t="str">
        <f>_xlfn.IFS(Augmented_Data!U455-Augmented_Data!K455=Augmented_Data!$R455,"Intime",Augmented_Data!U455-Augmented_Data!K455&lt;Augmented_Data!R455,"Before Time",Augmented_Data!U455-Augmented_Data!K455&gt;Augmented_Data!R455,"Late")</f>
        <v>Late</v>
      </c>
      <c r="T455" s="11">
        <v>59</v>
      </c>
      <c r="U455" s="12">
        <v>45576</v>
      </c>
      <c r="V455" s="11">
        <f>DATEDIF(Augmented_Data!$K455,Augmented_Data!$U455,"D")</f>
        <v>5</v>
      </c>
      <c r="W455" s="11" t="s">
        <v>2000</v>
      </c>
      <c r="X455" s="11">
        <f>Augmented_Data!$Z455-Augmented_Data!$AA455</f>
        <v>142.59300000000007</v>
      </c>
      <c r="Y455" s="11">
        <f>Augmented_Data!$N455*Augmented_Data!$O455</f>
        <v>891.62</v>
      </c>
      <c r="Z455" s="11">
        <f>Augmented_Data!$Y455+Augmented_Data!$T455</f>
        <v>950.62</v>
      </c>
      <c r="AA455" s="13">
        <f>IF(Augmented_Data!Q455="0 delivery charge",Augmented_Data!Z455-Augmented_Data!T455,Augmented_Data!Z455*(1-Augmented_Data!Q455))</f>
        <v>808.02699999999993</v>
      </c>
    </row>
    <row r="456" spans="1:27" x14ac:dyDescent="0.3">
      <c r="A456" s="14" t="s">
        <v>63</v>
      </c>
      <c r="B456" s="14" t="str">
        <f>_xlfn.CONCAT(Augmented_Data!$C456," ",Augmented_Data!$D456)</f>
        <v>Lauren Crane</v>
      </c>
      <c r="C456" s="14" t="s">
        <v>144</v>
      </c>
      <c r="D456" s="14" t="s">
        <v>244</v>
      </c>
      <c r="E456" s="14">
        <v>62</v>
      </c>
      <c r="F456" s="14" t="s">
        <v>289</v>
      </c>
      <c r="G456" s="14" t="s">
        <v>292</v>
      </c>
      <c r="H456" s="14" t="s">
        <v>344</v>
      </c>
      <c r="I456" s="14" t="s">
        <v>444</v>
      </c>
      <c r="J456" s="14" t="s">
        <v>886</v>
      </c>
      <c r="K456" s="15">
        <v>45380</v>
      </c>
      <c r="L456" s="14" t="s">
        <v>1386</v>
      </c>
      <c r="M456" s="14" t="s">
        <v>1546</v>
      </c>
      <c r="N456" s="14">
        <v>33.49</v>
      </c>
      <c r="O456" s="14">
        <v>1</v>
      </c>
      <c r="P456" s="14" t="s">
        <v>1547</v>
      </c>
      <c r="Q456" s="14" t="str">
        <f>_xlfn.IFS(Augmented_Data!$P456="FLAT8","8%",Augmented_Data!$P456="FLAT10","10%",Augmented_Data!$P456="FLAT15","15%",Augmented_Data!$P456="FLAT20","20%",Augmented_Data!$P456="DEL0","0 delivery charge")</f>
        <v>0 delivery charge</v>
      </c>
      <c r="R456" s="14">
        <v>2</v>
      </c>
      <c r="S456" s="14" t="str">
        <f>_xlfn.IFS(Augmented_Data!U456-Augmented_Data!K456=Augmented_Data!$R456,"Intime",Augmented_Data!U456-Augmented_Data!K456&lt;Augmented_Data!R456,"Before Time",Augmented_Data!U456-Augmented_Data!K456&gt;Augmented_Data!R456,"Late")</f>
        <v>Late</v>
      </c>
      <c r="T456" s="14">
        <v>69</v>
      </c>
      <c r="U456" s="15">
        <v>45385</v>
      </c>
      <c r="V456" s="14">
        <f>DATEDIF(Augmented_Data!$K456,Augmented_Data!$U456,"D")</f>
        <v>5</v>
      </c>
      <c r="W456" s="14" t="s">
        <v>1936</v>
      </c>
      <c r="X456" s="14">
        <f>Augmented_Data!$Z456-Augmented_Data!$AA456</f>
        <v>69</v>
      </c>
      <c r="Y456" s="14">
        <f>Augmented_Data!$N456*Augmented_Data!$O456</f>
        <v>33.49</v>
      </c>
      <c r="Z456" s="14">
        <f>Augmented_Data!$Y456+Augmented_Data!$T456</f>
        <v>102.49000000000001</v>
      </c>
      <c r="AA456" s="16">
        <f>IF(Augmented_Data!Q456="0 delivery charge",Augmented_Data!Z456-Augmented_Data!T456,Augmented_Data!Z456*(1-Augmented_Data!Q456))</f>
        <v>33.490000000000009</v>
      </c>
    </row>
    <row r="457" spans="1:27" x14ac:dyDescent="0.3">
      <c r="A457" s="11" t="s">
        <v>55</v>
      </c>
      <c r="B457" s="11" t="str">
        <f>_xlfn.CONCAT(Augmented_Data!$C457," ",Augmented_Data!$D457)</f>
        <v>Timothy Hicks</v>
      </c>
      <c r="C457" s="11" t="s">
        <v>153</v>
      </c>
      <c r="D457" s="11" t="s">
        <v>236</v>
      </c>
      <c r="E457" s="11">
        <v>31</v>
      </c>
      <c r="F457" s="11" t="s">
        <v>290</v>
      </c>
      <c r="G457" s="11" t="s">
        <v>294</v>
      </c>
      <c r="H457" s="11" t="s">
        <v>336</v>
      </c>
      <c r="I457" s="11" t="s">
        <v>436</v>
      </c>
      <c r="J457" s="11" t="s">
        <v>954</v>
      </c>
      <c r="K457" s="12">
        <v>45525</v>
      </c>
      <c r="L457" s="11" t="s">
        <v>1453</v>
      </c>
      <c r="M457" s="11" t="s">
        <v>1524</v>
      </c>
      <c r="N457" s="11">
        <v>157.63999999999999</v>
      </c>
      <c r="O457" s="11">
        <v>1</v>
      </c>
      <c r="P457" s="11" t="s">
        <v>1550</v>
      </c>
      <c r="Q457" s="11" t="str">
        <f>_xlfn.IFS(Augmented_Data!$P457="FLAT8","8%",Augmented_Data!$P457="FLAT10","10%",Augmented_Data!$P457="FLAT15","15%",Augmented_Data!$P457="FLAT20","20%",Augmented_Data!$P457="DEL0","0 delivery charge")</f>
        <v>20%</v>
      </c>
      <c r="R457" s="11">
        <v>7</v>
      </c>
      <c r="S457" s="11" t="str">
        <f>_xlfn.IFS(Augmented_Data!U457-Augmented_Data!K457=Augmented_Data!$R457,"Intime",Augmented_Data!U457-Augmented_Data!K457&lt;Augmented_Data!R457,"Before Time",Augmented_Data!U457-Augmented_Data!K457&gt;Augmented_Data!R457,"Late")</f>
        <v>Before Time</v>
      </c>
      <c r="T457" s="11">
        <v>46</v>
      </c>
      <c r="U457" s="12">
        <v>45527</v>
      </c>
      <c r="V457" s="11">
        <f>DATEDIF(Augmented_Data!$K457,Augmented_Data!$U457,"D")</f>
        <v>2</v>
      </c>
      <c r="W457" s="11" t="s">
        <v>2002</v>
      </c>
      <c r="X457" s="11">
        <f>Augmented_Data!$Z457-Augmented_Data!$AA457</f>
        <v>40.72799999999998</v>
      </c>
      <c r="Y457" s="11">
        <f>Augmented_Data!$N457*Augmented_Data!$O457</f>
        <v>157.63999999999999</v>
      </c>
      <c r="Z457" s="11">
        <f>Augmented_Data!$Y457+Augmented_Data!$T457</f>
        <v>203.64</v>
      </c>
      <c r="AA457" s="13">
        <f>IF(Augmented_Data!Q457="0 delivery charge",Augmented_Data!Z457-Augmented_Data!T457,Augmented_Data!Z457*(1-Augmented_Data!Q457))</f>
        <v>162.91200000000001</v>
      </c>
    </row>
    <row r="458" spans="1:27" x14ac:dyDescent="0.3">
      <c r="A458" s="14" t="s">
        <v>54</v>
      </c>
      <c r="B458" s="14" t="str">
        <f>_xlfn.CONCAT(Augmented_Data!$C458," ",Augmented_Data!$D458)</f>
        <v>Robert Castillo</v>
      </c>
      <c r="C458" s="14" t="s">
        <v>152</v>
      </c>
      <c r="D458" s="14" t="s">
        <v>235</v>
      </c>
      <c r="E458" s="14">
        <v>32</v>
      </c>
      <c r="F458" s="14" t="s">
        <v>289</v>
      </c>
      <c r="G458" s="14" t="s">
        <v>297</v>
      </c>
      <c r="H458" s="14" t="s">
        <v>335</v>
      </c>
      <c r="I458" s="14" t="s">
        <v>435</v>
      </c>
      <c r="J458" s="14" t="s">
        <v>955</v>
      </c>
      <c r="K458" s="15">
        <v>45257</v>
      </c>
      <c r="L458" s="14" t="s">
        <v>1454</v>
      </c>
      <c r="M458" s="14" t="s">
        <v>1507</v>
      </c>
      <c r="N458" s="14">
        <v>257.06</v>
      </c>
      <c r="O458" s="14">
        <v>1</v>
      </c>
      <c r="P458" s="14" t="s">
        <v>2047</v>
      </c>
      <c r="Q458" s="14" t="str">
        <f>_xlfn.IFS(Augmented_Data!$P458="FLAT8","8%",Augmented_Data!$P458="FLAT10","10%",Augmented_Data!$P458="FLAT15","15%",Augmented_Data!$P458="FLAT20","20%",Augmented_Data!$P458="DEL0","0 delivery charge")</f>
        <v>8%</v>
      </c>
      <c r="R458" s="14">
        <v>3</v>
      </c>
      <c r="S458" s="14" t="str">
        <f>_xlfn.IFS(Augmented_Data!U458-Augmented_Data!K458=Augmented_Data!$R458,"Intime",Augmented_Data!U458-Augmented_Data!K458&lt;Augmented_Data!R458,"Before Time",Augmented_Data!U458-Augmented_Data!K458&gt;Augmented_Data!R458,"Late")</f>
        <v>Before Time</v>
      </c>
      <c r="T458" s="14">
        <v>47</v>
      </c>
      <c r="U458" s="15">
        <v>45259</v>
      </c>
      <c r="V458" s="14">
        <f>DATEDIF(Augmented_Data!$K458,Augmented_Data!$U458,"D")</f>
        <v>2</v>
      </c>
      <c r="W458" s="14" t="s">
        <v>2003</v>
      </c>
      <c r="X458" s="14">
        <f>Augmented_Data!$Z458-Augmented_Data!$AA458</f>
        <v>24.324799999999982</v>
      </c>
      <c r="Y458" s="14">
        <f>Augmented_Data!$N458*Augmented_Data!$O458</f>
        <v>257.06</v>
      </c>
      <c r="Z458" s="14">
        <f>Augmented_Data!$Y458+Augmented_Data!$T458</f>
        <v>304.06</v>
      </c>
      <c r="AA458" s="16">
        <f>IF(Augmented_Data!Q458="0 delivery charge",Augmented_Data!Z458-Augmented_Data!T458,Augmented_Data!Z458*(1-Augmented_Data!Q458))</f>
        <v>279.73520000000002</v>
      </c>
    </row>
    <row r="459" spans="1:27" x14ac:dyDescent="0.3">
      <c r="A459" s="11" t="s">
        <v>104</v>
      </c>
      <c r="B459" s="11" t="str">
        <f>_xlfn.CONCAT(Augmented_Data!$C459," ",Augmented_Data!$D459)</f>
        <v>Christine Aguilar</v>
      </c>
      <c r="C459" s="11" t="s">
        <v>123</v>
      </c>
      <c r="D459" s="11" t="s">
        <v>278</v>
      </c>
      <c r="E459" s="11">
        <v>46</v>
      </c>
      <c r="F459" s="11" t="s">
        <v>288</v>
      </c>
      <c r="G459" s="11" t="s">
        <v>291</v>
      </c>
      <c r="H459" s="11" t="s">
        <v>385</v>
      </c>
      <c r="I459" s="11" t="s">
        <v>485</v>
      </c>
      <c r="J459" s="11" t="s">
        <v>956</v>
      </c>
      <c r="K459" s="12">
        <v>44980</v>
      </c>
      <c r="L459" s="11" t="s">
        <v>1455</v>
      </c>
      <c r="M459" s="11" t="s">
        <v>1528</v>
      </c>
      <c r="N459" s="11">
        <v>431.44</v>
      </c>
      <c r="O459" s="11">
        <v>3</v>
      </c>
      <c r="P459" s="11" t="s">
        <v>2047</v>
      </c>
      <c r="Q459" s="11" t="str">
        <f>_xlfn.IFS(Augmented_Data!$P459="FLAT8","8%",Augmented_Data!$P459="FLAT10","10%",Augmented_Data!$P459="FLAT15","15%",Augmented_Data!$P459="FLAT20","20%",Augmented_Data!$P459="DEL0","0 delivery charge")</f>
        <v>8%</v>
      </c>
      <c r="R459" s="11">
        <v>6</v>
      </c>
      <c r="S459" s="11" t="str">
        <f>_xlfn.IFS(Augmented_Data!U459-Augmented_Data!K459=Augmented_Data!$R459,"Intime",Augmented_Data!U459-Augmented_Data!K459&lt;Augmented_Data!R459,"Before Time",Augmented_Data!U459-Augmented_Data!K459&gt;Augmented_Data!R459,"Late")</f>
        <v>Before Time</v>
      </c>
      <c r="T459" s="11">
        <v>70</v>
      </c>
      <c r="U459" s="12">
        <v>44983</v>
      </c>
      <c r="V459" s="11">
        <f>DATEDIF(Augmented_Data!$K459,Augmented_Data!$U459,"D")</f>
        <v>3</v>
      </c>
      <c r="W459" s="11" t="s">
        <v>2004</v>
      </c>
      <c r="X459" s="11">
        <f>Augmented_Data!$Z459-Augmented_Data!$AA459</f>
        <v>109.14559999999983</v>
      </c>
      <c r="Y459" s="11">
        <f>Augmented_Data!$N459*Augmented_Data!$O459</f>
        <v>1294.32</v>
      </c>
      <c r="Z459" s="11">
        <f>Augmented_Data!$Y459+Augmented_Data!$T459</f>
        <v>1364.32</v>
      </c>
      <c r="AA459" s="13">
        <f>IF(Augmented_Data!Q459="0 delivery charge",Augmented_Data!Z459-Augmented_Data!T459,Augmented_Data!Z459*(1-Augmented_Data!Q459))</f>
        <v>1255.1744000000001</v>
      </c>
    </row>
    <row r="460" spans="1:27" x14ac:dyDescent="0.3">
      <c r="A460" s="14" t="s">
        <v>101</v>
      </c>
      <c r="B460" s="14" t="str">
        <f>_xlfn.CONCAT(Augmented_Data!$C460," ",Augmented_Data!$D460)</f>
        <v>Regina Hawkins</v>
      </c>
      <c r="C460" s="14" t="s">
        <v>189</v>
      </c>
      <c r="D460" s="14" t="s">
        <v>275</v>
      </c>
      <c r="E460" s="14">
        <v>47</v>
      </c>
      <c r="F460" s="14" t="s">
        <v>289</v>
      </c>
      <c r="G460" s="14" t="s">
        <v>291</v>
      </c>
      <c r="H460" s="14" t="s">
        <v>382</v>
      </c>
      <c r="I460" s="14" t="s">
        <v>482</v>
      </c>
      <c r="J460" s="14" t="s">
        <v>857</v>
      </c>
      <c r="K460" s="15">
        <v>45183</v>
      </c>
      <c r="L460" s="14" t="s">
        <v>1357</v>
      </c>
      <c r="M460" s="14" t="s">
        <v>1515</v>
      </c>
      <c r="N460" s="14">
        <v>132.97</v>
      </c>
      <c r="O460" s="14">
        <v>1</v>
      </c>
      <c r="P460" s="14" t="s">
        <v>1548</v>
      </c>
      <c r="Q460" s="14" t="str">
        <f>_xlfn.IFS(Augmented_Data!$P460="FLAT8","8%",Augmented_Data!$P460="FLAT10","10%",Augmented_Data!$P460="FLAT15","15%",Augmented_Data!$P460="FLAT20","20%",Augmented_Data!$P460="DEL0","0 delivery charge")</f>
        <v>15%</v>
      </c>
      <c r="R460" s="14">
        <v>6</v>
      </c>
      <c r="S460" s="14" t="str">
        <f>_xlfn.IFS(Augmented_Data!U460-Augmented_Data!K460=Augmented_Data!$R460,"Intime",Augmented_Data!U460-Augmented_Data!K460&lt;Augmented_Data!R460,"Before Time",Augmented_Data!U460-Augmented_Data!K460&gt;Augmented_Data!R460,"Late")</f>
        <v>Late</v>
      </c>
      <c r="T460" s="14">
        <v>37</v>
      </c>
      <c r="U460" s="15">
        <v>45190</v>
      </c>
      <c r="V460" s="14">
        <f>DATEDIF(Augmented_Data!$K460,Augmented_Data!$U460,"D")</f>
        <v>7</v>
      </c>
      <c r="W460" s="14" t="s">
        <v>1908</v>
      </c>
      <c r="X460" s="14">
        <f>Augmented_Data!$Z460-Augmented_Data!$AA460</f>
        <v>25.495499999999993</v>
      </c>
      <c r="Y460" s="14">
        <f>Augmented_Data!$N460*Augmented_Data!$O460</f>
        <v>132.97</v>
      </c>
      <c r="Z460" s="14">
        <f>Augmented_Data!$Y460+Augmented_Data!$T460</f>
        <v>169.97</v>
      </c>
      <c r="AA460" s="16">
        <f>IF(Augmented_Data!Q460="0 delivery charge",Augmented_Data!Z460-Augmented_Data!T460,Augmented_Data!Z460*(1-Augmented_Data!Q460))</f>
        <v>144.47450000000001</v>
      </c>
    </row>
    <row r="461" spans="1:27" x14ac:dyDescent="0.3">
      <c r="A461" s="11" t="s">
        <v>101</v>
      </c>
      <c r="B461" s="11" t="str">
        <f>_xlfn.CONCAT(Augmented_Data!$C461," ",Augmented_Data!$D461)</f>
        <v>Regina Hawkins</v>
      </c>
      <c r="C461" s="11" t="s">
        <v>189</v>
      </c>
      <c r="D461" s="11" t="s">
        <v>275</v>
      </c>
      <c r="E461" s="11">
        <v>47</v>
      </c>
      <c r="F461" s="11" t="s">
        <v>289</v>
      </c>
      <c r="G461" s="11" t="s">
        <v>291</v>
      </c>
      <c r="H461" s="11" t="s">
        <v>382</v>
      </c>
      <c r="I461" s="11" t="s">
        <v>482</v>
      </c>
      <c r="J461" s="11" t="s">
        <v>958</v>
      </c>
      <c r="K461" s="12">
        <v>45015</v>
      </c>
      <c r="L461" s="11" t="s">
        <v>1457</v>
      </c>
      <c r="M461" s="11" t="s">
        <v>1525</v>
      </c>
      <c r="N461" s="11">
        <v>481.48</v>
      </c>
      <c r="O461" s="11">
        <v>2</v>
      </c>
      <c r="P461" s="11" t="s">
        <v>1547</v>
      </c>
      <c r="Q461" s="11" t="str">
        <f>_xlfn.IFS(Augmented_Data!$P461="FLAT8","8%",Augmented_Data!$P461="FLAT10","10%",Augmented_Data!$P461="FLAT15","15%",Augmented_Data!$P461="FLAT20","20%",Augmented_Data!$P461="DEL0","0 delivery charge")</f>
        <v>0 delivery charge</v>
      </c>
      <c r="R461" s="11">
        <v>5</v>
      </c>
      <c r="S461" s="11" t="str">
        <f>_xlfn.IFS(Augmented_Data!U461-Augmented_Data!K461=Augmented_Data!$R461,"Intime",Augmented_Data!U461-Augmented_Data!K461&lt;Augmented_Data!R461,"Before Time",Augmented_Data!U461-Augmented_Data!K461&gt;Augmented_Data!R461,"Late")</f>
        <v>Before Time</v>
      </c>
      <c r="T461" s="11">
        <v>45</v>
      </c>
      <c r="U461" s="12">
        <v>45017</v>
      </c>
      <c r="V461" s="11">
        <f>DATEDIF(Augmented_Data!$K461,Augmented_Data!$U461,"D")</f>
        <v>2</v>
      </c>
      <c r="W461" s="11" t="s">
        <v>2006</v>
      </c>
      <c r="X461" s="11">
        <f>Augmented_Data!$Z461-Augmented_Data!$AA461</f>
        <v>45</v>
      </c>
      <c r="Y461" s="11">
        <f>Augmented_Data!$N461*Augmented_Data!$O461</f>
        <v>962.96</v>
      </c>
      <c r="Z461" s="11">
        <f>Augmented_Data!$Y461+Augmented_Data!$T461</f>
        <v>1007.96</v>
      </c>
      <c r="AA461" s="13">
        <f>IF(Augmented_Data!Q461="0 delivery charge",Augmented_Data!Z461-Augmented_Data!T461,Augmented_Data!Z461*(1-Augmented_Data!Q461))</f>
        <v>962.96</v>
      </c>
    </row>
    <row r="462" spans="1:27" x14ac:dyDescent="0.3">
      <c r="A462" s="14" t="s">
        <v>93</v>
      </c>
      <c r="B462" s="14" t="str">
        <f>_xlfn.CONCAT(Augmented_Data!$C462," ",Augmented_Data!$D462)</f>
        <v>Diana French</v>
      </c>
      <c r="C462" s="14" t="s">
        <v>182</v>
      </c>
      <c r="D462" s="14" t="s">
        <v>269</v>
      </c>
      <c r="E462" s="14">
        <v>54</v>
      </c>
      <c r="F462" s="14" t="s">
        <v>289</v>
      </c>
      <c r="G462" s="14" t="s">
        <v>295</v>
      </c>
      <c r="H462" s="14" t="s">
        <v>374</v>
      </c>
      <c r="I462" s="14" t="s">
        <v>474</v>
      </c>
      <c r="J462" s="14" t="s">
        <v>621</v>
      </c>
      <c r="K462" s="15">
        <v>45587</v>
      </c>
      <c r="L462" s="14" t="s">
        <v>1121</v>
      </c>
      <c r="M462" s="14" t="s">
        <v>1532</v>
      </c>
      <c r="N462" s="14">
        <v>87.09</v>
      </c>
      <c r="O462" s="14">
        <v>5</v>
      </c>
      <c r="P462" s="14" t="s">
        <v>1548</v>
      </c>
      <c r="Q462" s="14" t="str">
        <f>_xlfn.IFS(Augmented_Data!$P462="FLAT8","8%",Augmented_Data!$P462="FLAT10","10%",Augmented_Data!$P462="FLAT15","15%",Augmented_Data!$P462="FLAT20","20%",Augmented_Data!$P462="DEL0","0 delivery charge")</f>
        <v>15%</v>
      </c>
      <c r="R462" s="14">
        <v>7</v>
      </c>
      <c r="S462" s="14" t="str">
        <f>_xlfn.IFS(Augmented_Data!U462-Augmented_Data!K462=Augmented_Data!$R462,"Intime",Augmented_Data!U462-Augmented_Data!K462&lt;Augmented_Data!R462,"Before Time",Augmented_Data!U462-Augmented_Data!K462&gt;Augmented_Data!R462,"Late")</f>
        <v>Before Time</v>
      </c>
      <c r="T462" s="14">
        <v>40</v>
      </c>
      <c r="U462" s="15">
        <v>45589</v>
      </c>
      <c r="V462" s="14">
        <f>DATEDIF(Augmented_Data!$K462,Augmented_Data!$U462,"D")</f>
        <v>2</v>
      </c>
      <c r="W462" s="14" t="s">
        <v>1673</v>
      </c>
      <c r="X462" s="14">
        <f>Augmented_Data!$Z462-Augmented_Data!$AA462</f>
        <v>71.317499999999995</v>
      </c>
      <c r="Y462" s="14">
        <f>Augmented_Data!$N462*Augmented_Data!$O462</f>
        <v>435.45000000000005</v>
      </c>
      <c r="Z462" s="14">
        <f>Augmented_Data!$Y462+Augmented_Data!$T462</f>
        <v>475.45000000000005</v>
      </c>
      <c r="AA462" s="16">
        <f>IF(Augmented_Data!Q462="0 delivery charge",Augmented_Data!Z462-Augmented_Data!T462,Augmented_Data!Z462*(1-Augmented_Data!Q462))</f>
        <v>404.13250000000005</v>
      </c>
    </row>
    <row r="463" spans="1:27" x14ac:dyDescent="0.3">
      <c r="A463" s="11" t="s">
        <v>94</v>
      </c>
      <c r="B463" s="11" t="str">
        <f>_xlfn.CONCAT(Augmented_Data!$C463," ",Augmented_Data!$D463)</f>
        <v>Edward Black</v>
      </c>
      <c r="C463" s="11" t="s">
        <v>183</v>
      </c>
      <c r="D463" s="11" t="s">
        <v>270</v>
      </c>
      <c r="E463" s="11">
        <v>42</v>
      </c>
      <c r="F463" s="11" t="s">
        <v>288</v>
      </c>
      <c r="G463" s="11" t="s">
        <v>295</v>
      </c>
      <c r="H463" s="11" t="s">
        <v>375</v>
      </c>
      <c r="I463" s="11" t="s">
        <v>475</v>
      </c>
      <c r="J463" s="11" t="s">
        <v>960</v>
      </c>
      <c r="K463" s="12">
        <v>45596</v>
      </c>
      <c r="L463" s="11" t="s">
        <v>1459</v>
      </c>
      <c r="M463" s="11" t="s">
        <v>1543</v>
      </c>
      <c r="N463" s="11">
        <v>381.73</v>
      </c>
      <c r="O463" s="11">
        <v>5</v>
      </c>
      <c r="P463" s="11" t="s">
        <v>1548</v>
      </c>
      <c r="Q463" s="11" t="str">
        <f>_xlfn.IFS(Augmented_Data!$P463="FLAT8","8%",Augmented_Data!$P463="FLAT10","10%",Augmented_Data!$P463="FLAT15","15%",Augmented_Data!$P463="FLAT20","20%",Augmented_Data!$P463="DEL0","0 delivery charge")</f>
        <v>15%</v>
      </c>
      <c r="R463" s="11">
        <v>1</v>
      </c>
      <c r="S463" s="11" t="str">
        <f>_xlfn.IFS(Augmented_Data!U463-Augmented_Data!K463=Augmented_Data!$R463,"Intime",Augmented_Data!U463-Augmented_Data!K463&lt;Augmented_Data!R463,"Before Time",Augmented_Data!U463-Augmented_Data!K463&gt;Augmented_Data!R463,"Late")</f>
        <v>Late</v>
      </c>
      <c r="T463" s="11">
        <v>53</v>
      </c>
      <c r="U463" s="12">
        <v>45603</v>
      </c>
      <c r="V463" s="11">
        <f>DATEDIF(Augmented_Data!$K463,Augmented_Data!$U463,"D")</f>
        <v>7</v>
      </c>
      <c r="W463" s="11" t="s">
        <v>2008</v>
      </c>
      <c r="X463" s="11">
        <f>Augmented_Data!$Z463-Augmented_Data!$AA463</f>
        <v>294.24749999999995</v>
      </c>
      <c r="Y463" s="11">
        <f>Augmented_Data!$N463*Augmented_Data!$O463</f>
        <v>1908.65</v>
      </c>
      <c r="Z463" s="11">
        <f>Augmented_Data!$Y463+Augmented_Data!$T463</f>
        <v>1961.65</v>
      </c>
      <c r="AA463" s="13">
        <f>IF(Augmented_Data!Q463="0 delivery charge",Augmented_Data!Z463-Augmented_Data!T463,Augmented_Data!Z463*(1-Augmented_Data!Q463))</f>
        <v>1667.4025000000001</v>
      </c>
    </row>
    <row r="464" spans="1:27" x14ac:dyDescent="0.3">
      <c r="A464" s="14" t="s">
        <v>109</v>
      </c>
      <c r="B464" s="14" t="str">
        <f>_xlfn.CONCAT(Augmented_Data!$C464," ",Augmented_Data!$D464)</f>
        <v>Jared Horn</v>
      </c>
      <c r="C464" s="14" t="s">
        <v>194</v>
      </c>
      <c r="D464" s="14" t="s">
        <v>283</v>
      </c>
      <c r="E464" s="14">
        <v>43</v>
      </c>
      <c r="F464" s="14" t="s">
        <v>288</v>
      </c>
      <c r="G464" s="14" t="s">
        <v>294</v>
      </c>
      <c r="H464" s="14" t="s">
        <v>390</v>
      </c>
      <c r="I464" s="14" t="s">
        <v>490</v>
      </c>
      <c r="J464" s="14" t="s">
        <v>961</v>
      </c>
      <c r="K464" s="15">
        <v>45087</v>
      </c>
      <c r="L464" s="14" t="s">
        <v>1460</v>
      </c>
      <c r="M464" s="14" t="s">
        <v>1528</v>
      </c>
      <c r="N464" s="14">
        <v>431.44</v>
      </c>
      <c r="O464" s="14">
        <v>3</v>
      </c>
      <c r="P464" s="14" t="s">
        <v>1548</v>
      </c>
      <c r="Q464" s="14" t="str">
        <f>_xlfn.IFS(Augmented_Data!$P464="FLAT8","8%",Augmented_Data!$P464="FLAT10","10%",Augmented_Data!$P464="FLAT15","15%",Augmented_Data!$P464="FLAT20","20%",Augmented_Data!$P464="DEL0","0 delivery charge")</f>
        <v>15%</v>
      </c>
      <c r="R464" s="14">
        <v>4</v>
      </c>
      <c r="S464" s="14" t="str">
        <f>_xlfn.IFS(Augmented_Data!U464-Augmented_Data!K464=Augmented_Data!$R464,"Intime",Augmented_Data!U464-Augmented_Data!K464&lt;Augmented_Data!R464,"Before Time",Augmented_Data!U464-Augmented_Data!K464&gt;Augmented_Data!R464,"Late")</f>
        <v>Late</v>
      </c>
      <c r="T464" s="14">
        <v>58</v>
      </c>
      <c r="U464" s="15">
        <v>45092</v>
      </c>
      <c r="V464" s="14">
        <f>DATEDIF(Augmented_Data!$K464,Augmented_Data!$U464,"D")</f>
        <v>5</v>
      </c>
      <c r="W464" s="14" t="s">
        <v>2009</v>
      </c>
      <c r="X464" s="14">
        <f>Augmented_Data!$Z464-Augmented_Data!$AA464</f>
        <v>202.84799999999996</v>
      </c>
      <c r="Y464" s="14">
        <f>Augmented_Data!$N464*Augmented_Data!$O464</f>
        <v>1294.32</v>
      </c>
      <c r="Z464" s="14">
        <f>Augmented_Data!$Y464+Augmented_Data!$T464</f>
        <v>1352.32</v>
      </c>
      <c r="AA464" s="16">
        <f>IF(Augmented_Data!Q464="0 delivery charge",Augmented_Data!Z464-Augmented_Data!T464,Augmented_Data!Z464*(1-Augmented_Data!Q464))</f>
        <v>1149.472</v>
      </c>
    </row>
    <row r="465" spans="1:27" x14ac:dyDescent="0.3">
      <c r="A465" s="11" t="s">
        <v>63</v>
      </c>
      <c r="B465" s="11" t="str">
        <f>_xlfn.CONCAT(Augmented_Data!$C465," ",Augmented_Data!$D465)</f>
        <v>Lauren Crane</v>
      </c>
      <c r="C465" s="11" t="s">
        <v>144</v>
      </c>
      <c r="D465" s="11" t="s">
        <v>244</v>
      </c>
      <c r="E465" s="11">
        <v>62</v>
      </c>
      <c r="F465" s="11" t="s">
        <v>289</v>
      </c>
      <c r="G465" s="11" t="s">
        <v>292</v>
      </c>
      <c r="H465" s="11" t="s">
        <v>344</v>
      </c>
      <c r="I465" s="11" t="s">
        <v>444</v>
      </c>
      <c r="J465" s="11" t="s">
        <v>902</v>
      </c>
      <c r="K465" s="12">
        <v>45393</v>
      </c>
      <c r="L465" s="11" t="s">
        <v>1402</v>
      </c>
      <c r="M465" s="11" t="s">
        <v>1539</v>
      </c>
      <c r="N465" s="11">
        <v>235.63</v>
      </c>
      <c r="O465" s="11">
        <v>3</v>
      </c>
      <c r="P465" s="11" t="s">
        <v>1547</v>
      </c>
      <c r="Q465" s="11" t="str">
        <f>_xlfn.IFS(Augmented_Data!$P465="FLAT8","8%",Augmented_Data!$P465="FLAT10","10%",Augmented_Data!$P465="FLAT15","15%",Augmented_Data!$P465="FLAT20","20%",Augmented_Data!$P465="DEL0","0 delivery charge")</f>
        <v>0 delivery charge</v>
      </c>
      <c r="R465" s="11">
        <v>6</v>
      </c>
      <c r="S465" s="11" t="str">
        <f>_xlfn.IFS(Augmented_Data!U465-Augmented_Data!K465=Augmented_Data!$R465,"Intime",Augmented_Data!U465-Augmented_Data!K465&lt;Augmented_Data!R465,"Before Time",Augmented_Data!U465-Augmented_Data!K465&gt;Augmented_Data!R465,"Late")</f>
        <v>Before Time</v>
      </c>
      <c r="T465" s="11">
        <v>41</v>
      </c>
      <c r="U465" s="12">
        <v>45398</v>
      </c>
      <c r="V465" s="11">
        <f>DATEDIF(Augmented_Data!$K465,Augmented_Data!$U465,"D")</f>
        <v>5</v>
      </c>
      <c r="W465" s="11" t="s">
        <v>1951</v>
      </c>
      <c r="X465" s="11">
        <f>Augmented_Data!$Z465-Augmented_Data!$AA465</f>
        <v>41</v>
      </c>
      <c r="Y465" s="11">
        <f>Augmented_Data!$N465*Augmented_Data!$O465</f>
        <v>706.89</v>
      </c>
      <c r="Z465" s="11">
        <f>Augmented_Data!$Y465+Augmented_Data!$T465</f>
        <v>747.89</v>
      </c>
      <c r="AA465" s="13">
        <f>IF(Augmented_Data!Q465="0 delivery charge",Augmented_Data!Z465-Augmented_Data!T465,Augmented_Data!Z465*(1-Augmented_Data!Q465))</f>
        <v>706.89</v>
      </c>
    </row>
    <row r="466" spans="1:27" x14ac:dyDescent="0.3">
      <c r="A466" s="14" t="s">
        <v>33</v>
      </c>
      <c r="B466" s="14" t="str">
        <f>_xlfn.CONCAT(Augmented_Data!$C466," ",Augmented_Data!$D466)</f>
        <v>Erin Miller</v>
      </c>
      <c r="C466" s="14" t="s">
        <v>133</v>
      </c>
      <c r="D466" s="14" t="s">
        <v>215</v>
      </c>
      <c r="E466" s="14">
        <v>46</v>
      </c>
      <c r="F466" s="14" t="s">
        <v>288</v>
      </c>
      <c r="G466" s="14" t="s">
        <v>297</v>
      </c>
      <c r="H466" s="14" t="s">
        <v>314</v>
      </c>
      <c r="I466" s="14" t="s">
        <v>414</v>
      </c>
      <c r="J466" s="14" t="s">
        <v>963</v>
      </c>
      <c r="K466" s="15">
        <v>45525</v>
      </c>
      <c r="L466" s="14" t="s">
        <v>1462</v>
      </c>
      <c r="M466" s="14" t="s">
        <v>1506</v>
      </c>
      <c r="N466" s="14">
        <v>372.62</v>
      </c>
      <c r="O466" s="14">
        <v>4</v>
      </c>
      <c r="P466" s="14" t="s">
        <v>2047</v>
      </c>
      <c r="Q466" s="14" t="str">
        <f>_xlfn.IFS(Augmented_Data!$P466="FLAT8","8%",Augmented_Data!$P466="FLAT10","10%",Augmented_Data!$P466="FLAT15","15%",Augmented_Data!$P466="FLAT20","20%",Augmented_Data!$P466="DEL0","0 delivery charge")</f>
        <v>8%</v>
      </c>
      <c r="R466" s="14">
        <v>3</v>
      </c>
      <c r="S466" s="14" t="str">
        <f>_xlfn.IFS(Augmented_Data!U466-Augmented_Data!K466=Augmented_Data!$R466,"Intime",Augmented_Data!U466-Augmented_Data!K466&lt;Augmented_Data!R466,"Before Time",Augmented_Data!U466-Augmented_Data!K466&gt;Augmented_Data!R466,"Late")</f>
        <v>Late</v>
      </c>
      <c r="T466" s="14">
        <v>48</v>
      </c>
      <c r="U466" s="15">
        <v>45530</v>
      </c>
      <c r="V466" s="14">
        <f>DATEDIF(Augmented_Data!$K466,Augmented_Data!$U466,"D")</f>
        <v>5</v>
      </c>
      <c r="W466" s="14" t="s">
        <v>2011</v>
      </c>
      <c r="X466" s="14">
        <f>Augmented_Data!$Z466-Augmented_Data!$AA466</f>
        <v>123.07839999999987</v>
      </c>
      <c r="Y466" s="14">
        <f>Augmented_Data!$N466*Augmented_Data!$O466</f>
        <v>1490.48</v>
      </c>
      <c r="Z466" s="14">
        <f>Augmented_Data!$Y466+Augmented_Data!$T466</f>
        <v>1538.48</v>
      </c>
      <c r="AA466" s="16">
        <f>IF(Augmented_Data!Q466="0 delivery charge",Augmented_Data!Z466-Augmented_Data!T466,Augmented_Data!Z466*(1-Augmented_Data!Q466))</f>
        <v>1415.4016000000001</v>
      </c>
    </row>
    <row r="467" spans="1:27" x14ac:dyDescent="0.3">
      <c r="A467" s="11" t="s">
        <v>50</v>
      </c>
      <c r="B467" s="11" t="str">
        <f>_xlfn.CONCAT(Augmented_Data!$C467," ",Augmented_Data!$D467)</f>
        <v>Jenny Estrada</v>
      </c>
      <c r="C467" s="11" t="s">
        <v>148</v>
      </c>
      <c r="D467" s="11" t="s">
        <v>231</v>
      </c>
      <c r="E467" s="11">
        <v>45</v>
      </c>
      <c r="F467" s="11" t="s">
        <v>288</v>
      </c>
      <c r="G467" s="11" t="s">
        <v>292</v>
      </c>
      <c r="H467" s="11" t="s">
        <v>331</v>
      </c>
      <c r="I467" s="11" t="s">
        <v>431</v>
      </c>
      <c r="J467" s="11" t="s">
        <v>964</v>
      </c>
      <c r="K467" s="12">
        <v>45103</v>
      </c>
      <c r="L467" s="11" t="s">
        <v>1463</v>
      </c>
      <c r="M467" s="11" t="s">
        <v>1537</v>
      </c>
      <c r="N467" s="11">
        <v>445.81</v>
      </c>
      <c r="O467" s="11">
        <v>3</v>
      </c>
      <c r="P467" s="11" t="s">
        <v>1550</v>
      </c>
      <c r="Q467" s="11" t="str">
        <f>_xlfn.IFS(Augmented_Data!$P467="FLAT8","8%",Augmented_Data!$P467="FLAT10","10%",Augmented_Data!$P467="FLAT15","15%",Augmented_Data!$P467="FLAT20","20%",Augmented_Data!$P467="DEL0","0 delivery charge")</f>
        <v>20%</v>
      </c>
      <c r="R467" s="11">
        <v>1</v>
      </c>
      <c r="S467" s="11" t="str">
        <f>_xlfn.IFS(Augmented_Data!U467-Augmented_Data!K467=Augmented_Data!$R467,"Intime",Augmented_Data!U467-Augmented_Data!K467&lt;Augmented_Data!R467,"Before Time",Augmented_Data!U467-Augmented_Data!K467&gt;Augmented_Data!R467,"Late")</f>
        <v>Late</v>
      </c>
      <c r="T467" s="11">
        <v>58</v>
      </c>
      <c r="U467" s="12">
        <v>45109</v>
      </c>
      <c r="V467" s="11">
        <f>DATEDIF(Augmented_Data!$K467,Augmented_Data!$U467,"D")</f>
        <v>6</v>
      </c>
      <c r="W467" s="11" t="s">
        <v>2012</v>
      </c>
      <c r="X467" s="11">
        <f>Augmented_Data!$Z467-Augmented_Data!$AA467</f>
        <v>279.08600000000001</v>
      </c>
      <c r="Y467" s="11">
        <f>Augmented_Data!$N467*Augmented_Data!$O467</f>
        <v>1337.43</v>
      </c>
      <c r="Z467" s="11">
        <f>Augmented_Data!$Y467+Augmented_Data!$T467</f>
        <v>1395.43</v>
      </c>
      <c r="AA467" s="13">
        <f>IF(Augmented_Data!Q467="0 delivery charge",Augmented_Data!Z467-Augmented_Data!T467,Augmented_Data!Z467*(1-Augmented_Data!Q467))</f>
        <v>1116.3440000000001</v>
      </c>
    </row>
    <row r="468" spans="1:27" x14ac:dyDescent="0.3">
      <c r="A468" s="14" t="s">
        <v>80</v>
      </c>
      <c r="B468" s="14" t="str">
        <f>_xlfn.CONCAT(Augmented_Data!$C468," ",Augmented_Data!$D468)</f>
        <v>Amy Ellis</v>
      </c>
      <c r="C468" s="14" t="s">
        <v>131</v>
      </c>
      <c r="D468" s="14" t="s">
        <v>257</v>
      </c>
      <c r="E468" s="14">
        <v>44</v>
      </c>
      <c r="F468" s="14" t="s">
        <v>290</v>
      </c>
      <c r="G468" s="14" t="s">
        <v>296</v>
      </c>
      <c r="H468" s="14" t="s">
        <v>361</v>
      </c>
      <c r="I468" s="14" t="s">
        <v>461</v>
      </c>
      <c r="J468" s="14" t="s">
        <v>965</v>
      </c>
      <c r="K468" s="15">
        <v>45410</v>
      </c>
      <c r="L468" s="14" t="s">
        <v>1464</v>
      </c>
      <c r="M468" s="14" t="s">
        <v>1536</v>
      </c>
      <c r="N468" s="14">
        <v>403.03</v>
      </c>
      <c r="O468" s="14">
        <v>2</v>
      </c>
      <c r="P468" s="14" t="s">
        <v>1548</v>
      </c>
      <c r="Q468" s="14" t="str">
        <f>_xlfn.IFS(Augmented_Data!$P468="FLAT8","8%",Augmented_Data!$P468="FLAT10","10%",Augmented_Data!$P468="FLAT15","15%",Augmented_Data!$P468="FLAT20","20%",Augmented_Data!$P468="DEL0","0 delivery charge")</f>
        <v>15%</v>
      </c>
      <c r="R468" s="14">
        <v>7</v>
      </c>
      <c r="S468" s="14" t="str">
        <f>_xlfn.IFS(Augmented_Data!U468-Augmented_Data!K468=Augmented_Data!$R468,"Intime",Augmented_Data!U468-Augmented_Data!K468&lt;Augmented_Data!R468,"Before Time",Augmented_Data!U468-Augmented_Data!K468&gt;Augmented_Data!R468,"Late")</f>
        <v>Intime</v>
      </c>
      <c r="T468" s="14">
        <v>39</v>
      </c>
      <c r="U468" s="15">
        <v>45417</v>
      </c>
      <c r="V468" s="14">
        <f>DATEDIF(Augmented_Data!$K468,Augmented_Data!$U468,"D")</f>
        <v>7</v>
      </c>
      <c r="W468" s="14" t="s">
        <v>2013</v>
      </c>
      <c r="X468" s="14">
        <f>Augmented_Data!$Z468-Augmented_Data!$AA468</f>
        <v>126.75900000000001</v>
      </c>
      <c r="Y468" s="14">
        <f>Augmented_Data!$N468*Augmented_Data!$O468</f>
        <v>806.06</v>
      </c>
      <c r="Z468" s="14">
        <f>Augmented_Data!$Y468+Augmented_Data!$T468</f>
        <v>845.06</v>
      </c>
      <c r="AA468" s="16">
        <f>IF(Augmented_Data!Q468="0 delivery charge",Augmented_Data!Z468-Augmented_Data!T468,Augmented_Data!Z468*(1-Augmented_Data!Q468))</f>
        <v>718.30099999999993</v>
      </c>
    </row>
    <row r="469" spans="1:27" x14ac:dyDescent="0.3">
      <c r="A469" s="11" t="s">
        <v>99</v>
      </c>
      <c r="B469" s="11" t="str">
        <f>_xlfn.CONCAT(Augmented_Data!$C469," ",Augmented_Data!$D469)</f>
        <v>Amy Griffin</v>
      </c>
      <c r="C469" s="11" t="s">
        <v>131</v>
      </c>
      <c r="D469" s="11" t="s">
        <v>273</v>
      </c>
      <c r="E469" s="11">
        <v>29</v>
      </c>
      <c r="F469" s="11" t="s">
        <v>288</v>
      </c>
      <c r="G469" s="11" t="s">
        <v>292</v>
      </c>
      <c r="H469" s="11" t="s">
        <v>380</v>
      </c>
      <c r="I469" s="11" t="s">
        <v>480</v>
      </c>
      <c r="J469" s="11" t="s">
        <v>966</v>
      </c>
      <c r="K469" s="12">
        <v>45423</v>
      </c>
      <c r="L469" s="11" t="s">
        <v>1465</v>
      </c>
      <c r="M469" s="11" t="s">
        <v>1518</v>
      </c>
      <c r="N469" s="11">
        <v>496.59</v>
      </c>
      <c r="O469" s="11">
        <v>5</v>
      </c>
      <c r="P469" s="11" t="s">
        <v>2047</v>
      </c>
      <c r="Q469" s="11" t="str">
        <f>_xlfn.IFS(Augmented_Data!$P469="FLAT8","8%",Augmented_Data!$P469="FLAT10","10%",Augmented_Data!$P469="FLAT15","15%",Augmented_Data!$P469="FLAT20","20%",Augmented_Data!$P469="DEL0","0 delivery charge")</f>
        <v>8%</v>
      </c>
      <c r="R469" s="11">
        <v>3</v>
      </c>
      <c r="S469" s="11" t="str">
        <f>_xlfn.IFS(Augmented_Data!U469-Augmented_Data!K469=Augmented_Data!$R469,"Intime",Augmented_Data!U469-Augmented_Data!K469&lt;Augmented_Data!R469,"Before Time",Augmented_Data!U469-Augmented_Data!K469&gt;Augmented_Data!R469,"Late")</f>
        <v>Before Time</v>
      </c>
      <c r="T469" s="11">
        <v>61</v>
      </c>
      <c r="U469" s="12">
        <v>45425</v>
      </c>
      <c r="V469" s="11">
        <f>DATEDIF(Augmented_Data!$K469,Augmented_Data!$U469,"D")</f>
        <v>2</v>
      </c>
      <c r="W469" s="11" t="s">
        <v>2014</v>
      </c>
      <c r="X469" s="11">
        <f>Augmented_Data!$Z469-Augmented_Data!$AA469</f>
        <v>203.51600000000008</v>
      </c>
      <c r="Y469" s="11">
        <f>Augmented_Data!$N469*Augmented_Data!$O469</f>
        <v>2482.9499999999998</v>
      </c>
      <c r="Z469" s="11">
        <f>Augmented_Data!$Y469+Augmented_Data!$T469</f>
        <v>2543.9499999999998</v>
      </c>
      <c r="AA469" s="13">
        <f>IF(Augmented_Data!Q469="0 delivery charge",Augmented_Data!Z469-Augmented_Data!T469,Augmented_Data!Z469*(1-Augmented_Data!Q469))</f>
        <v>2340.4339999999997</v>
      </c>
    </row>
    <row r="470" spans="1:27" x14ac:dyDescent="0.3">
      <c r="A470" s="14" t="s">
        <v>22</v>
      </c>
      <c r="B470" s="14" t="str">
        <f>_xlfn.CONCAT(Augmented_Data!$C470," ",Augmented_Data!$D470)</f>
        <v>Angela Horne</v>
      </c>
      <c r="C470" s="14" t="s">
        <v>122</v>
      </c>
      <c r="D470" s="14" t="s">
        <v>204</v>
      </c>
      <c r="E470" s="14">
        <v>49</v>
      </c>
      <c r="F470" s="14" t="s">
        <v>290</v>
      </c>
      <c r="G470" s="14" t="s">
        <v>291</v>
      </c>
      <c r="H470" s="14" t="s">
        <v>303</v>
      </c>
      <c r="I470" s="14" t="s">
        <v>403</v>
      </c>
      <c r="J470" s="14" t="s">
        <v>967</v>
      </c>
      <c r="K470" s="15">
        <v>45377</v>
      </c>
      <c r="L470" s="14" t="s">
        <v>1466</v>
      </c>
      <c r="M470" s="14" t="s">
        <v>1500</v>
      </c>
      <c r="N470" s="14">
        <v>44.5</v>
      </c>
      <c r="O470" s="14">
        <v>3</v>
      </c>
      <c r="P470" s="14" t="s">
        <v>1550</v>
      </c>
      <c r="Q470" s="14" t="str">
        <f>_xlfn.IFS(Augmented_Data!$P470="FLAT8","8%",Augmented_Data!$P470="FLAT10","10%",Augmented_Data!$P470="FLAT15","15%",Augmented_Data!$P470="FLAT20","20%",Augmented_Data!$P470="DEL0","0 delivery charge")</f>
        <v>20%</v>
      </c>
      <c r="R470" s="14">
        <v>7</v>
      </c>
      <c r="S470" s="14" t="str">
        <f>_xlfn.IFS(Augmented_Data!U470-Augmented_Data!K470=Augmented_Data!$R470,"Intime",Augmented_Data!U470-Augmented_Data!K470&lt;Augmented_Data!R470,"Before Time",Augmented_Data!U470-Augmented_Data!K470&gt;Augmented_Data!R470,"Late")</f>
        <v>Before Time</v>
      </c>
      <c r="T470" s="14">
        <v>40</v>
      </c>
      <c r="U470" s="15">
        <v>45382</v>
      </c>
      <c r="V470" s="14">
        <f>DATEDIF(Augmented_Data!$K470,Augmented_Data!$U470,"D")</f>
        <v>5</v>
      </c>
      <c r="W470" s="14" t="s">
        <v>2015</v>
      </c>
      <c r="X470" s="14">
        <f>Augmented_Data!$Z470-Augmented_Data!$AA470</f>
        <v>34.699999999999989</v>
      </c>
      <c r="Y470" s="14">
        <f>Augmented_Data!$N470*Augmented_Data!$O470</f>
        <v>133.5</v>
      </c>
      <c r="Z470" s="14">
        <f>Augmented_Data!$Y470+Augmented_Data!$T470</f>
        <v>173.5</v>
      </c>
      <c r="AA470" s="16">
        <f>IF(Augmented_Data!Q470="0 delivery charge",Augmented_Data!Z470-Augmented_Data!T470,Augmented_Data!Z470*(1-Augmented_Data!Q470))</f>
        <v>138.80000000000001</v>
      </c>
    </row>
    <row r="471" spans="1:27" x14ac:dyDescent="0.3">
      <c r="A471" s="11" t="s">
        <v>63</v>
      </c>
      <c r="B471" s="11" t="str">
        <f>_xlfn.CONCAT(Augmented_Data!$C471," ",Augmented_Data!$D471)</f>
        <v>Lauren Crane</v>
      </c>
      <c r="C471" s="11" t="s">
        <v>144</v>
      </c>
      <c r="D471" s="11" t="s">
        <v>244</v>
      </c>
      <c r="E471" s="11">
        <v>62</v>
      </c>
      <c r="F471" s="11" t="s">
        <v>289</v>
      </c>
      <c r="G471" s="11" t="s">
        <v>292</v>
      </c>
      <c r="H471" s="11" t="s">
        <v>344</v>
      </c>
      <c r="I471" s="11" t="s">
        <v>444</v>
      </c>
      <c r="J471" s="11" t="s">
        <v>962</v>
      </c>
      <c r="K471" s="12">
        <v>45451</v>
      </c>
      <c r="L471" s="11" t="s">
        <v>1461</v>
      </c>
      <c r="M471" s="11" t="s">
        <v>1520</v>
      </c>
      <c r="N471" s="11">
        <v>62.42</v>
      </c>
      <c r="O471" s="11">
        <v>5</v>
      </c>
      <c r="P471" s="11" t="s">
        <v>1547</v>
      </c>
      <c r="Q471" s="11" t="str">
        <f>_xlfn.IFS(Augmented_Data!$P471="FLAT8","8%",Augmented_Data!$P471="FLAT10","10%",Augmented_Data!$P471="FLAT15","15%",Augmented_Data!$P471="FLAT20","20%",Augmented_Data!$P471="DEL0","0 delivery charge")</f>
        <v>0 delivery charge</v>
      </c>
      <c r="R471" s="11">
        <v>2</v>
      </c>
      <c r="S471" s="11" t="str">
        <f>_xlfn.IFS(Augmented_Data!U471-Augmented_Data!K471=Augmented_Data!$R471,"Intime",Augmented_Data!U471-Augmented_Data!K471&lt;Augmented_Data!R471,"Before Time",Augmented_Data!U471-Augmented_Data!K471&gt;Augmented_Data!R471,"Late")</f>
        <v>Intime</v>
      </c>
      <c r="T471" s="11">
        <v>47</v>
      </c>
      <c r="U471" s="12">
        <v>45453</v>
      </c>
      <c r="V471" s="11">
        <f>DATEDIF(Augmented_Data!$K471,Augmented_Data!$U471,"D")</f>
        <v>2</v>
      </c>
      <c r="W471" s="11" t="s">
        <v>2010</v>
      </c>
      <c r="X471" s="11">
        <f>Augmented_Data!$Z471-Augmented_Data!$AA471</f>
        <v>47</v>
      </c>
      <c r="Y471" s="11">
        <f>Augmented_Data!$N471*Augmented_Data!$O471</f>
        <v>312.10000000000002</v>
      </c>
      <c r="Z471" s="11">
        <f>Augmented_Data!$Y471+Augmented_Data!$T471</f>
        <v>359.1</v>
      </c>
      <c r="AA471" s="13">
        <f>IF(Augmented_Data!Q471="0 delivery charge",Augmented_Data!Z471-Augmented_Data!T471,Augmented_Data!Z471*(1-Augmented_Data!Q471))</f>
        <v>312.10000000000002</v>
      </c>
    </row>
    <row r="472" spans="1:27" x14ac:dyDescent="0.3">
      <c r="A472" s="14" t="s">
        <v>86</v>
      </c>
      <c r="B472" s="14" t="str">
        <f>_xlfn.CONCAT(Augmented_Data!$C472," ",Augmented_Data!$D472)</f>
        <v>Gregory Lee</v>
      </c>
      <c r="C472" s="14" t="s">
        <v>176</v>
      </c>
      <c r="D472" s="14" t="s">
        <v>263</v>
      </c>
      <c r="E472" s="14">
        <v>26</v>
      </c>
      <c r="F472" s="14" t="s">
        <v>290</v>
      </c>
      <c r="G472" s="14" t="s">
        <v>295</v>
      </c>
      <c r="H472" s="14" t="s">
        <v>367</v>
      </c>
      <c r="I472" s="14" t="s">
        <v>467</v>
      </c>
      <c r="J472" s="14" t="s">
        <v>969</v>
      </c>
      <c r="K472" s="15">
        <v>45362</v>
      </c>
      <c r="L472" s="14" t="s">
        <v>1468</v>
      </c>
      <c r="M472" s="14" t="s">
        <v>1532</v>
      </c>
      <c r="N472" s="14">
        <v>87.09</v>
      </c>
      <c r="O472" s="14">
        <v>4</v>
      </c>
      <c r="P472" s="14" t="s">
        <v>1549</v>
      </c>
      <c r="Q472" s="14" t="str">
        <f>_xlfn.IFS(Augmented_Data!$P472="FLAT8","8%",Augmented_Data!$P472="FLAT10","10%",Augmented_Data!$P472="FLAT15","15%",Augmented_Data!$P472="FLAT20","20%",Augmented_Data!$P472="DEL0","0 delivery charge")</f>
        <v>10%</v>
      </c>
      <c r="R472" s="14">
        <v>5</v>
      </c>
      <c r="S472" s="14" t="str">
        <f>_xlfn.IFS(Augmented_Data!U472-Augmented_Data!K472=Augmented_Data!$R472,"Intime",Augmented_Data!U472-Augmented_Data!K472&lt;Augmented_Data!R472,"Before Time",Augmented_Data!U472-Augmented_Data!K472&gt;Augmented_Data!R472,"Late")</f>
        <v>Late</v>
      </c>
      <c r="T472" s="14">
        <v>45</v>
      </c>
      <c r="U472" s="15">
        <v>45368</v>
      </c>
      <c r="V472" s="14">
        <f>DATEDIF(Augmented_Data!$K472,Augmented_Data!$U472,"D")</f>
        <v>6</v>
      </c>
      <c r="W472" s="14" t="s">
        <v>2017</v>
      </c>
      <c r="X472" s="14">
        <f>Augmented_Data!$Z472-Augmented_Data!$AA472</f>
        <v>39.336000000000013</v>
      </c>
      <c r="Y472" s="14">
        <f>Augmented_Data!$N472*Augmented_Data!$O472</f>
        <v>348.36</v>
      </c>
      <c r="Z472" s="14">
        <f>Augmented_Data!$Y472+Augmented_Data!$T472</f>
        <v>393.36</v>
      </c>
      <c r="AA472" s="16">
        <f>IF(Augmented_Data!Q472="0 delivery charge",Augmented_Data!Z472-Augmented_Data!T472,Augmented_Data!Z472*(1-Augmented_Data!Q472))</f>
        <v>354.024</v>
      </c>
    </row>
    <row r="473" spans="1:27" x14ac:dyDescent="0.3">
      <c r="A473" s="11" t="s">
        <v>48</v>
      </c>
      <c r="B473" s="11" t="str">
        <f>_xlfn.CONCAT(Augmented_Data!$C473," ",Augmented_Data!$D473)</f>
        <v>Heather Schneider</v>
      </c>
      <c r="C473" s="11" t="s">
        <v>146</v>
      </c>
      <c r="D473" s="11" t="s">
        <v>229</v>
      </c>
      <c r="E473" s="11">
        <v>48</v>
      </c>
      <c r="F473" s="11" t="s">
        <v>289</v>
      </c>
      <c r="G473" s="11" t="s">
        <v>296</v>
      </c>
      <c r="H473" s="11" t="s">
        <v>329</v>
      </c>
      <c r="I473" s="11" t="s">
        <v>429</v>
      </c>
      <c r="J473" s="11" t="s">
        <v>970</v>
      </c>
      <c r="K473" s="12">
        <v>45283</v>
      </c>
      <c r="L473" s="11" t="s">
        <v>1469</v>
      </c>
      <c r="M473" s="11" t="s">
        <v>1527</v>
      </c>
      <c r="N473" s="11">
        <v>77.84</v>
      </c>
      <c r="O473" s="11">
        <v>4</v>
      </c>
      <c r="P473" s="11" t="s">
        <v>1550</v>
      </c>
      <c r="Q473" s="11" t="str">
        <f>_xlfn.IFS(Augmented_Data!$P473="FLAT8","8%",Augmented_Data!$P473="FLAT10","10%",Augmented_Data!$P473="FLAT15","15%",Augmented_Data!$P473="FLAT20","20%",Augmented_Data!$P473="DEL0","0 delivery charge")</f>
        <v>20%</v>
      </c>
      <c r="R473" s="11">
        <v>5</v>
      </c>
      <c r="S473" s="11" t="str">
        <f>_xlfn.IFS(Augmented_Data!U473-Augmented_Data!K473=Augmented_Data!$R473,"Intime",Augmented_Data!U473-Augmented_Data!K473&lt;Augmented_Data!R473,"Before Time",Augmented_Data!U473-Augmented_Data!K473&gt;Augmented_Data!R473,"Late")</f>
        <v>Before Time</v>
      </c>
      <c r="T473" s="11">
        <v>55</v>
      </c>
      <c r="U473" s="12">
        <v>45286</v>
      </c>
      <c r="V473" s="11">
        <f>DATEDIF(Augmented_Data!$K473,Augmented_Data!$U473,"D")</f>
        <v>3</v>
      </c>
      <c r="W473" s="11" t="s">
        <v>2018</v>
      </c>
      <c r="X473" s="11">
        <f>Augmented_Data!$Z473-Augmented_Data!$AA473</f>
        <v>73.271999999999991</v>
      </c>
      <c r="Y473" s="11">
        <f>Augmented_Data!$N473*Augmented_Data!$O473</f>
        <v>311.36</v>
      </c>
      <c r="Z473" s="11">
        <f>Augmented_Data!$Y473+Augmented_Data!$T473</f>
        <v>366.36</v>
      </c>
      <c r="AA473" s="13">
        <f>IF(Augmented_Data!Q473="0 delivery charge",Augmented_Data!Z473-Augmented_Data!T473,Augmented_Data!Z473*(1-Augmented_Data!Q473))</f>
        <v>293.08800000000002</v>
      </c>
    </row>
    <row r="474" spans="1:27" x14ac:dyDescent="0.3">
      <c r="A474" s="14" t="s">
        <v>117</v>
      </c>
      <c r="B474" s="14" t="str">
        <f>_xlfn.CONCAT(Augmented_Data!$C474," ",Augmented_Data!$D474)</f>
        <v>Janice Gordon</v>
      </c>
      <c r="C474" s="14" t="s">
        <v>199</v>
      </c>
      <c r="D474" s="14" t="s">
        <v>287</v>
      </c>
      <c r="E474" s="14">
        <v>43</v>
      </c>
      <c r="F474" s="14" t="s">
        <v>288</v>
      </c>
      <c r="G474" s="14" t="s">
        <v>292</v>
      </c>
      <c r="H474" s="14" t="s">
        <v>398</v>
      </c>
      <c r="I474" s="14" t="s">
        <v>498</v>
      </c>
      <c r="J474" s="14" t="s">
        <v>971</v>
      </c>
      <c r="K474" s="15">
        <v>45012</v>
      </c>
      <c r="L474" s="14" t="s">
        <v>1470</v>
      </c>
      <c r="M474" s="14" t="s">
        <v>1527</v>
      </c>
      <c r="N474" s="14">
        <v>77.84</v>
      </c>
      <c r="O474" s="14">
        <v>5</v>
      </c>
      <c r="P474" s="14" t="s">
        <v>1549</v>
      </c>
      <c r="Q474" s="14" t="str">
        <f>_xlfn.IFS(Augmented_Data!$P474="FLAT8","8%",Augmented_Data!$P474="FLAT10","10%",Augmented_Data!$P474="FLAT15","15%",Augmented_Data!$P474="FLAT20","20%",Augmented_Data!$P474="DEL0","0 delivery charge")</f>
        <v>10%</v>
      </c>
      <c r="R474" s="14">
        <v>2</v>
      </c>
      <c r="S474" s="14" t="str">
        <f>_xlfn.IFS(Augmented_Data!U474-Augmented_Data!K474=Augmented_Data!$R474,"Intime",Augmented_Data!U474-Augmented_Data!K474&lt;Augmented_Data!R474,"Before Time",Augmented_Data!U474-Augmented_Data!K474&gt;Augmented_Data!R474,"Late")</f>
        <v>Late</v>
      </c>
      <c r="T474" s="14">
        <v>53</v>
      </c>
      <c r="U474" s="15">
        <v>45017</v>
      </c>
      <c r="V474" s="14">
        <f>DATEDIF(Augmented_Data!$K474,Augmented_Data!$U474,"D")</f>
        <v>5</v>
      </c>
      <c r="W474" s="14" t="s">
        <v>2019</v>
      </c>
      <c r="X474" s="14">
        <f>Augmented_Data!$Z474-Augmented_Data!$AA474</f>
        <v>44.21999999999997</v>
      </c>
      <c r="Y474" s="14">
        <f>Augmented_Data!$N474*Augmented_Data!$O474</f>
        <v>389.20000000000005</v>
      </c>
      <c r="Z474" s="14">
        <f>Augmented_Data!$Y474+Augmented_Data!$T474</f>
        <v>442.20000000000005</v>
      </c>
      <c r="AA474" s="16">
        <f>IF(Augmented_Data!Q474="0 delivery charge",Augmented_Data!Z474-Augmented_Data!T474,Augmented_Data!Z474*(1-Augmented_Data!Q474))</f>
        <v>397.98000000000008</v>
      </c>
    </row>
    <row r="475" spans="1:27" x14ac:dyDescent="0.3">
      <c r="A475" s="11" t="s">
        <v>66</v>
      </c>
      <c r="B475" s="11" t="str">
        <f>_xlfn.CONCAT(Augmented_Data!$C475," ",Augmented_Data!$D475)</f>
        <v>Debra Hayes</v>
      </c>
      <c r="C475" s="11" t="s">
        <v>127</v>
      </c>
      <c r="D475" s="11" t="s">
        <v>247</v>
      </c>
      <c r="E475" s="11">
        <v>33</v>
      </c>
      <c r="F475" s="11" t="s">
        <v>288</v>
      </c>
      <c r="G475" s="11" t="s">
        <v>297</v>
      </c>
      <c r="H475" s="11" t="s">
        <v>347</v>
      </c>
      <c r="I475" s="11" t="s">
        <v>447</v>
      </c>
      <c r="J475" s="11" t="s">
        <v>972</v>
      </c>
      <c r="K475" s="12">
        <v>45528</v>
      </c>
      <c r="L475" s="11" t="s">
        <v>1471</v>
      </c>
      <c r="M475" s="11" t="s">
        <v>1515</v>
      </c>
      <c r="N475" s="11">
        <v>132.97</v>
      </c>
      <c r="O475" s="11">
        <v>4</v>
      </c>
      <c r="P475" s="11" t="s">
        <v>1547</v>
      </c>
      <c r="Q475" s="11" t="str">
        <f>_xlfn.IFS(Augmented_Data!$P475="FLAT8","8%",Augmented_Data!$P475="FLAT10","10%",Augmented_Data!$P475="FLAT15","15%",Augmented_Data!$P475="FLAT20","20%",Augmented_Data!$P475="DEL0","0 delivery charge")</f>
        <v>0 delivery charge</v>
      </c>
      <c r="R475" s="11">
        <v>6</v>
      </c>
      <c r="S475" s="11" t="str">
        <f>_xlfn.IFS(Augmented_Data!U475-Augmented_Data!K475=Augmented_Data!$R475,"Intime",Augmented_Data!U475-Augmented_Data!K475&lt;Augmented_Data!R475,"Before Time",Augmented_Data!U475-Augmented_Data!K475&gt;Augmented_Data!R475,"Late")</f>
        <v>Late</v>
      </c>
      <c r="T475" s="11">
        <v>63</v>
      </c>
      <c r="U475" s="12">
        <v>45535</v>
      </c>
      <c r="V475" s="11">
        <f>DATEDIF(Augmented_Data!$K475,Augmented_Data!$U475,"D")</f>
        <v>7</v>
      </c>
      <c r="W475" s="11" t="s">
        <v>2020</v>
      </c>
      <c r="X475" s="11">
        <f>Augmented_Data!$Z475-Augmented_Data!$AA475</f>
        <v>63</v>
      </c>
      <c r="Y475" s="11">
        <f>Augmented_Data!$N475*Augmented_Data!$O475</f>
        <v>531.88</v>
      </c>
      <c r="Z475" s="11">
        <f>Augmented_Data!$Y475+Augmented_Data!$T475</f>
        <v>594.88</v>
      </c>
      <c r="AA475" s="13">
        <f>IF(Augmented_Data!Q475="0 delivery charge",Augmented_Data!Z475-Augmented_Data!T475,Augmented_Data!Z475*(1-Augmented_Data!Q475))</f>
        <v>531.88</v>
      </c>
    </row>
    <row r="476" spans="1:27" x14ac:dyDescent="0.3">
      <c r="A476" s="14" t="s">
        <v>41</v>
      </c>
      <c r="B476" s="14" t="str">
        <f>_xlfn.CONCAT(Augmented_Data!$C476," ",Augmented_Data!$D476)</f>
        <v>Angela Evans</v>
      </c>
      <c r="C476" s="14" t="s">
        <v>122</v>
      </c>
      <c r="D476" s="14" t="s">
        <v>222</v>
      </c>
      <c r="E476" s="14">
        <v>52</v>
      </c>
      <c r="F476" s="14" t="s">
        <v>290</v>
      </c>
      <c r="G476" s="14" t="s">
        <v>292</v>
      </c>
      <c r="H476" s="14" t="s">
        <v>322</v>
      </c>
      <c r="I476" s="14" t="s">
        <v>422</v>
      </c>
      <c r="J476" s="14" t="s">
        <v>973</v>
      </c>
      <c r="K476" s="15">
        <v>45354</v>
      </c>
      <c r="L476" s="14" t="s">
        <v>1472</v>
      </c>
      <c r="M476" s="14" t="s">
        <v>1514</v>
      </c>
      <c r="N476" s="14">
        <v>461.07</v>
      </c>
      <c r="O476" s="14">
        <v>3</v>
      </c>
      <c r="P476" s="14" t="s">
        <v>1548</v>
      </c>
      <c r="Q476" s="14" t="str">
        <f>_xlfn.IFS(Augmented_Data!$P476="FLAT8","8%",Augmented_Data!$P476="FLAT10","10%",Augmented_Data!$P476="FLAT15","15%",Augmented_Data!$P476="FLAT20","20%",Augmented_Data!$P476="DEL0","0 delivery charge")</f>
        <v>15%</v>
      </c>
      <c r="R476" s="14">
        <v>4</v>
      </c>
      <c r="S476" s="14" t="str">
        <f>_xlfn.IFS(Augmented_Data!U476-Augmented_Data!K476=Augmented_Data!$R476,"Intime",Augmented_Data!U476-Augmented_Data!K476&lt;Augmented_Data!R476,"Before Time",Augmented_Data!U476-Augmented_Data!K476&gt;Augmented_Data!R476,"Late")</f>
        <v>Before Time</v>
      </c>
      <c r="T476" s="14">
        <v>54</v>
      </c>
      <c r="U476" s="15">
        <v>45357</v>
      </c>
      <c r="V476" s="14">
        <f>DATEDIF(Augmented_Data!$K476,Augmented_Data!$U476,"D")</f>
        <v>3</v>
      </c>
      <c r="W476" s="14" t="s">
        <v>2021</v>
      </c>
      <c r="X476" s="14">
        <f>Augmented_Data!$Z476-Augmented_Data!$AA476</f>
        <v>215.58150000000001</v>
      </c>
      <c r="Y476" s="14">
        <f>Augmented_Data!$N476*Augmented_Data!$O476</f>
        <v>1383.21</v>
      </c>
      <c r="Z476" s="14">
        <f>Augmented_Data!$Y476+Augmented_Data!$T476</f>
        <v>1437.21</v>
      </c>
      <c r="AA476" s="16">
        <f>IF(Augmented_Data!Q476="0 delivery charge",Augmented_Data!Z476-Augmented_Data!T476,Augmented_Data!Z476*(1-Augmented_Data!Q476))</f>
        <v>1221.6285</v>
      </c>
    </row>
    <row r="477" spans="1:27" x14ac:dyDescent="0.3">
      <c r="A477" s="11" t="s">
        <v>81</v>
      </c>
      <c r="B477" s="11" t="str">
        <f>_xlfn.CONCAT(Augmented_Data!$C477," ",Augmented_Data!$D477)</f>
        <v>Beth Mason</v>
      </c>
      <c r="C477" s="11" t="s">
        <v>171</v>
      </c>
      <c r="D477" s="11" t="s">
        <v>258</v>
      </c>
      <c r="E477" s="11">
        <v>45</v>
      </c>
      <c r="F477" s="11" t="s">
        <v>290</v>
      </c>
      <c r="G477" s="11" t="s">
        <v>296</v>
      </c>
      <c r="H477" s="11" t="s">
        <v>362</v>
      </c>
      <c r="I477" s="11" t="s">
        <v>462</v>
      </c>
      <c r="J477" s="11" t="s">
        <v>974</v>
      </c>
      <c r="K477" s="12">
        <v>45327</v>
      </c>
      <c r="L477" s="11" t="s">
        <v>1473</v>
      </c>
      <c r="M477" s="11" t="s">
        <v>1498</v>
      </c>
      <c r="N477" s="11">
        <v>166.28</v>
      </c>
      <c r="O477" s="11">
        <v>1</v>
      </c>
      <c r="P477" s="11" t="s">
        <v>1547</v>
      </c>
      <c r="Q477" s="11" t="str">
        <f>_xlfn.IFS(Augmented_Data!$P477="FLAT8","8%",Augmented_Data!$P477="FLAT10","10%",Augmented_Data!$P477="FLAT15","15%",Augmented_Data!$P477="FLAT20","20%",Augmented_Data!$P477="DEL0","0 delivery charge")</f>
        <v>0 delivery charge</v>
      </c>
      <c r="R477" s="11">
        <v>2</v>
      </c>
      <c r="S477" s="11" t="str">
        <f>_xlfn.IFS(Augmented_Data!U477-Augmented_Data!K477=Augmented_Data!$R477,"Intime",Augmented_Data!U477-Augmented_Data!K477&lt;Augmented_Data!R477,"Before Time",Augmented_Data!U477-Augmented_Data!K477&gt;Augmented_Data!R477,"Late")</f>
        <v>Before Time</v>
      </c>
      <c r="T477" s="11">
        <v>38</v>
      </c>
      <c r="U477" s="12">
        <v>45328</v>
      </c>
      <c r="V477" s="11">
        <f>DATEDIF(Augmented_Data!$K477,Augmented_Data!$U477,"D")</f>
        <v>1</v>
      </c>
      <c r="W477" s="11" t="s">
        <v>2022</v>
      </c>
      <c r="X477" s="11">
        <f>Augmented_Data!$Z477-Augmented_Data!$AA477</f>
        <v>38</v>
      </c>
      <c r="Y477" s="11">
        <f>Augmented_Data!$N477*Augmented_Data!$O477</f>
        <v>166.28</v>
      </c>
      <c r="Z477" s="11">
        <f>Augmented_Data!$Y477+Augmented_Data!$T477</f>
        <v>204.28</v>
      </c>
      <c r="AA477" s="13">
        <f>IF(Augmented_Data!Q477="0 delivery charge",Augmented_Data!Z477-Augmented_Data!T477,Augmented_Data!Z477*(1-Augmented_Data!Q477))</f>
        <v>166.28</v>
      </c>
    </row>
    <row r="478" spans="1:27" x14ac:dyDescent="0.3">
      <c r="A478" s="14" t="s">
        <v>93</v>
      </c>
      <c r="B478" s="14" t="str">
        <f>_xlfn.CONCAT(Augmented_Data!$C478," ",Augmented_Data!$D478)</f>
        <v>Diana French</v>
      </c>
      <c r="C478" s="14" t="s">
        <v>182</v>
      </c>
      <c r="D478" s="14" t="s">
        <v>269</v>
      </c>
      <c r="E478" s="14">
        <v>54</v>
      </c>
      <c r="F478" s="14" t="s">
        <v>289</v>
      </c>
      <c r="G478" s="14" t="s">
        <v>295</v>
      </c>
      <c r="H478" s="14" t="s">
        <v>374</v>
      </c>
      <c r="I478" s="14" t="s">
        <v>474</v>
      </c>
      <c r="J478" s="14" t="s">
        <v>730</v>
      </c>
      <c r="K478" s="15">
        <v>45353</v>
      </c>
      <c r="L478" s="14" t="s">
        <v>1230</v>
      </c>
      <c r="M478" s="14" t="s">
        <v>1535</v>
      </c>
      <c r="N478" s="14">
        <v>477.52</v>
      </c>
      <c r="O478" s="14">
        <v>4</v>
      </c>
      <c r="P478" s="14" t="s">
        <v>1549</v>
      </c>
      <c r="Q478" s="14" t="str">
        <f>_xlfn.IFS(Augmented_Data!$P478="FLAT8","8%",Augmented_Data!$P478="FLAT10","10%",Augmented_Data!$P478="FLAT15","15%",Augmented_Data!$P478="FLAT20","20%",Augmented_Data!$P478="DEL0","0 delivery charge")</f>
        <v>10%</v>
      </c>
      <c r="R478" s="14">
        <v>3</v>
      </c>
      <c r="S478" s="14" t="str">
        <f>_xlfn.IFS(Augmented_Data!U478-Augmented_Data!K478=Augmented_Data!$R478,"Intime",Augmented_Data!U478-Augmented_Data!K478&lt;Augmented_Data!R478,"Before Time",Augmented_Data!U478-Augmented_Data!K478&gt;Augmented_Data!R478,"Late")</f>
        <v>Before Time</v>
      </c>
      <c r="T478" s="14">
        <v>54</v>
      </c>
      <c r="U478" s="15">
        <v>45354</v>
      </c>
      <c r="V478" s="14">
        <f>DATEDIF(Augmented_Data!$K478,Augmented_Data!$U478,"D")</f>
        <v>1</v>
      </c>
      <c r="W478" s="14" t="s">
        <v>1781</v>
      </c>
      <c r="X478" s="14">
        <f>Augmented_Data!$Z478-Augmented_Data!$AA478</f>
        <v>196.4079999999999</v>
      </c>
      <c r="Y478" s="14">
        <f>Augmented_Data!$N478*Augmented_Data!$O478</f>
        <v>1910.08</v>
      </c>
      <c r="Z478" s="14">
        <f>Augmented_Data!$Y478+Augmented_Data!$T478</f>
        <v>1964.08</v>
      </c>
      <c r="AA478" s="16">
        <f>IF(Augmented_Data!Q478="0 delivery charge",Augmented_Data!Z478-Augmented_Data!T478,Augmented_Data!Z478*(1-Augmented_Data!Q478))</f>
        <v>1767.672</v>
      </c>
    </row>
    <row r="479" spans="1:27" x14ac:dyDescent="0.3">
      <c r="A479" s="11" t="s">
        <v>59</v>
      </c>
      <c r="B479" s="11" t="str">
        <f>_xlfn.CONCAT(Augmented_Data!$C479," ",Augmented_Data!$D479)</f>
        <v>Alexandra Smith</v>
      </c>
      <c r="C479" s="11" t="s">
        <v>156</v>
      </c>
      <c r="D479" s="11" t="s">
        <v>240</v>
      </c>
      <c r="E479" s="11">
        <v>70</v>
      </c>
      <c r="F479" s="11" t="s">
        <v>288</v>
      </c>
      <c r="G479" s="11" t="s">
        <v>291</v>
      </c>
      <c r="H479" s="11" t="s">
        <v>340</v>
      </c>
      <c r="I479" s="11" t="s">
        <v>440</v>
      </c>
      <c r="J479" s="11" t="s">
        <v>976</v>
      </c>
      <c r="K479" s="12">
        <v>45392</v>
      </c>
      <c r="L479" s="11" t="s">
        <v>1060</v>
      </c>
      <c r="M479" s="11" t="s">
        <v>1535</v>
      </c>
      <c r="N479" s="11">
        <v>477.52</v>
      </c>
      <c r="O479" s="11">
        <v>5</v>
      </c>
      <c r="P479" s="11" t="s">
        <v>1549</v>
      </c>
      <c r="Q479" s="11" t="str">
        <f>_xlfn.IFS(Augmented_Data!$P479="FLAT8","8%",Augmented_Data!$P479="FLAT10","10%",Augmented_Data!$P479="FLAT15","15%",Augmented_Data!$P479="FLAT20","20%",Augmented_Data!$P479="DEL0","0 delivery charge")</f>
        <v>10%</v>
      </c>
      <c r="R479" s="11">
        <v>7</v>
      </c>
      <c r="S479" s="11" t="str">
        <f>_xlfn.IFS(Augmented_Data!U479-Augmented_Data!K479=Augmented_Data!$R479,"Intime",Augmented_Data!U479-Augmented_Data!K479&lt;Augmented_Data!R479,"Before Time",Augmented_Data!U479-Augmented_Data!K479&gt;Augmented_Data!R479,"Late")</f>
        <v>Before Time</v>
      </c>
      <c r="T479" s="11">
        <v>53</v>
      </c>
      <c r="U479" s="12">
        <v>45394</v>
      </c>
      <c r="V479" s="11">
        <f>DATEDIF(Augmented_Data!$K479,Augmented_Data!$U479,"D")</f>
        <v>2</v>
      </c>
      <c r="W479" s="11" t="s">
        <v>2024</v>
      </c>
      <c r="X479" s="11">
        <f>Augmented_Data!$Z479-Augmented_Data!$AA479</f>
        <v>244.05999999999995</v>
      </c>
      <c r="Y479" s="11">
        <f>Augmented_Data!$N479*Augmented_Data!$O479</f>
        <v>2387.6</v>
      </c>
      <c r="Z479" s="11">
        <f>Augmented_Data!$Y479+Augmented_Data!$T479</f>
        <v>2440.6</v>
      </c>
      <c r="AA479" s="13">
        <f>IF(Augmented_Data!Q479="0 delivery charge",Augmented_Data!Z479-Augmented_Data!T479,Augmented_Data!Z479*(1-Augmented_Data!Q479))</f>
        <v>2196.54</v>
      </c>
    </row>
    <row r="480" spans="1:27" x14ac:dyDescent="0.3">
      <c r="A480" s="14" t="s">
        <v>117</v>
      </c>
      <c r="B480" s="14" t="str">
        <f>_xlfn.CONCAT(Augmented_Data!$C480," ",Augmented_Data!$D480)</f>
        <v>Janice Gordon</v>
      </c>
      <c r="C480" s="14" t="s">
        <v>199</v>
      </c>
      <c r="D480" s="14" t="s">
        <v>287</v>
      </c>
      <c r="E480" s="14">
        <v>43</v>
      </c>
      <c r="F480" s="14" t="s">
        <v>288</v>
      </c>
      <c r="G480" s="14" t="s">
        <v>292</v>
      </c>
      <c r="H480" s="14" t="s">
        <v>398</v>
      </c>
      <c r="I480" s="14" t="s">
        <v>498</v>
      </c>
      <c r="J480" s="14" t="s">
        <v>977</v>
      </c>
      <c r="K480" s="15">
        <v>45259</v>
      </c>
      <c r="L480" s="14" t="s">
        <v>1475</v>
      </c>
      <c r="M480" s="14" t="s">
        <v>1522</v>
      </c>
      <c r="N480" s="14">
        <v>158.53</v>
      </c>
      <c r="O480" s="14">
        <v>2</v>
      </c>
      <c r="P480" s="14" t="s">
        <v>1547</v>
      </c>
      <c r="Q480" s="14" t="str">
        <f>_xlfn.IFS(Augmented_Data!$P480="FLAT8","8%",Augmented_Data!$P480="FLAT10","10%",Augmented_Data!$P480="FLAT15","15%",Augmented_Data!$P480="FLAT20","20%",Augmented_Data!$P480="DEL0","0 delivery charge")</f>
        <v>0 delivery charge</v>
      </c>
      <c r="R480" s="14">
        <v>5</v>
      </c>
      <c r="S480" s="14" t="str">
        <f>_xlfn.IFS(Augmented_Data!U480-Augmented_Data!K480=Augmented_Data!$R480,"Intime",Augmented_Data!U480-Augmented_Data!K480&lt;Augmented_Data!R480,"Before Time",Augmented_Data!U480-Augmented_Data!K480&gt;Augmented_Data!R480,"Late")</f>
        <v>Before Time</v>
      </c>
      <c r="T480" s="14">
        <v>69</v>
      </c>
      <c r="U480" s="15">
        <v>45261</v>
      </c>
      <c r="V480" s="14">
        <f>DATEDIF(Augmented_Data!$K480,Augmented_Data!$U480,"D")</f>
        <v>2</v>
      </c>
      <c r="W480" s="14" t="s">
        <v>2025</v>
      </c>
      <c r="X480" s="14">
        <f>Augmented_Data!$Z480-Augmented_Data!$AA480</f>
        <v>69</v>
      </c>
      <c r="Y480" s="14">
        <f>Augmented_Data!$N480*Augmented_Data!$O480</f>
        <v>317.06</v>
      </c>
      <c r="Z480" s="14">
        <f>Augmented_Data!$Y480+Augmented_Data!$T480</f>
        <v>386.06</v>
      </c>
      <c r="AA480" s="16">
        <f>IF(Augmented_Data!Q480="0 delivery charge",Augmented_Data!Z480-Augmented_Data!T480,Augmented_Data!Z480*(1-Augmented_Data!Q480))</f>
        <v>317.06</v>
      </c>
    </row>
    <row r="481" spans="1:27" x14ac:dyDescent="0.3">
      <c r="A481" s="11" t="s">
        <v>37</v>
      </c>
      <c r="B481" s="11" t="str">
        <f>_xlfn.CONCAT(Augmented_Data!$C481," ",Augmented_Data!$D481)</f>
        <v>Deborah Bates</v>
      </c>
      <c r="C481" s="11" t="s">
        <v>137</v>
      </c>
      <c r="D481" s="11" t="s">
        <v>218</v>
      </c>
      <c r="E481" s="11">
        <v>23</v>
      </c>
      <c r="F481" s="11" t="s">
        <v>288</v>
      </c>
      <c r="G481" s="11" t="s">
        <v>296</v>
      </c>
      <c r="H481" s="11" t="s">
        <v>318</v>
      </c>
      <c r="I481" s="11" t="s">
        <v>418</v>
      </c>
      <c r="J481" s="11" t="s">
        <v>978</v>
      </c>
      <c r="K481" s="12">
        <v>45373</v>
      </c>
      <c r="L481" s="11" t="s">
        <v>1476</v>
      </c>
      <c r="M481" s="11" t="s">
        <v>1526</v>
      </c>
      <c r="N481" s="11">
        <v>405</v>
      </c>
      <c r="O481" s="11">
        <v>3</v>
      </c>
      <c r="P481" s="11" t="s">
        <v>1549</v>
      </c>
      <c r="Q481" s="11" t="str">
        <f>_xlfn.IFS(Augmented_Data!$P481="FLAT8","8%",Augmented_Data!$P481="FLAT10","10%",Augmented_Data!$P481="FLAT15","15%",Augmented_Data!$P481="FLAT20","20%",Augmented_Data!$P481="DEL0","0 delivery charge")</f>
        <v>10%</v>
      </c>
      <c r="R481" s="11">
        <v>5</v>
      </c>
      <c r="S481" s="11" t="str">
        <f>_xlfn.IFS(Augmented_Data!U481-Augmented_Data!K481=Augmented_Data!$R481,"Intime",Augmented_Data!U481-Augmented_Data!K481&lt;Augmented_Data!R481,"Before Time",Augmented_Data!U481-Augmented_Data!K481&gt;Augmented_Data!R481,"Late")</f>
        <v>Late</v>
      </c>
      <c r="T481" s="11">
        <v>54</v>
      </c>
      <c r="U481" s="12">
        <v>45379</v>
      </c>
      <c r="V481" s="11">
        <f>DATEDIF(Augmented_Data!$K481,Augmented_Data!$U481,"D")</f>
        <v>6</v>
      </c>
      <c r="W481" s="11" t="s">
        <v>2026</v>
      </c>
      <c r="X481" s="11">
        <f>Augmented_Data!$Z481-Augmented_Data!$AA481</f>
        <v>126.89999999999986</v>
      </c>
      <c r="Y481" s="11">
        <f>Augmented_Data!$N481*Augmented_Data!$O481</f>
        <v>1215</v>
      </c>
      <c r="Z481" s="11">
        <f>Augmented_Data!$Y481+Augmented_Data!$T481</f>
        <v>1269</v>
      </c>
      <c r="AA481" s="13">
        <f>IF(Augmented_Data!Q481="0 delivery charge",Augmented_Data!Z481-Augmented_Data!T481,Augmented_Data!Z481*(1-Augmented_Data!Q481))</f>
        <v>1142.1000000000001</v>
      </c>
    </row>
    <row r="482" spans="1:27" x14ac:dyDescent="0.3">
      <c r="A482" s="14" t="s">
        <v>65</v>
      </c>
      <c r="B482" s="14" t="str">
        <f>_xlfn.CONCAT(Augmented_Data!$C482," ",Augmented_Data!$D482)</f>
        <v>Lori Cook</v>
      </c>
      <c r="C482" s="14" t="s">
        <v>160</v>
      </c>
      <c r="D482" s="14" t="s">
        <v>246</v>
      </c>
      <c r="E482" s="14">
        <v>18</v>
      </c>
      <c r="F482" s="14" t="s">
        <v>289</v>
      </c>
      <c r="G482" s="14" t="s">
        <v>292</v>
      </c>
      <c r="H482" s="14" t="s">
        <v>346</v>
      </c>
      <c r="I482" s="14" t="s">
        <v>446</v>
      </c>
      <c r="J482" s="14" t="s">
        <v>979</v>
      </c>
      <c r="K482" s="15">
        <v>45380</v>
      </c>
      <c r="L482" s="14" t="s">
        <v>1477</v>
      </c>
      <c r="M482" s="14" t="s">
        <v>1544</v>
      </c>
      <c r="N482" s="14">
        <v>107.47</v>
      </c>
      <c r="O482" s="14">
        <v>4</v>
      </c>
      <c r="P482" s="14" t="s">
        <v>1549</v>
      </c>
      <c r="Q482" s="14" t="str">
        <f>_xlfn.IFS(Augmented_Data!$P482="FLAT8","8%",Augmented_Data!$P482="FLAT10","10%",Augmented_Data!$P482="FLAT15","15%",Augmented_Data!$P482="FLAT20","20%",Augmented_Data!$P482="DEL0","0 delivery charge")</f>
        <v>10%</v>
      </c>
      <c r="R482" s="14">
        <v>3</v>
      </c>
      <c r="S482" s="14" t="str">
        <f>_xlfn.IFS(Augmented_Data!U482-Augmented_Data!K482=Augmented_Data!$R482,"Intime",Augmented_Data!U482-Augmented_Data!K482&lt;Augmented_Data!R482,"Before Time",Augmented_Data!U482-Augmented_Data!K482&gt;Augmented_Data!R482,"Late")</f>
        <v>Late</v>
      </c>
      <c r="T482" s="14">
        <v>65</v>
      </c>
      <c r="U482" s="15">
        <v>45385</v>
      </c>
      <c r="V482" s="14">
        <f>DATEDIF(Augmented_Data!$K482,Augmented_Data!$U482,"D")</f>
        <v>5</v>
      </c>
      <c r="W482" s="14" t="s">
        <v>2027</v>
      </c>
      <c r="X482" s="14">
        <f>Augmented_Data!$Z482-Augmented_Data!$AA482</f>
        <v>49.488</v>
      </c>
      <c r="Y482" s="14">
        <f>Augmented_Data!$N482*Augmented_Data!$O482</f>
        <v>429.88</v>
      </c>
      <c r="Z482" s="14">
        <f>Augmented_Data!$Y482+Augmented_Data!$T482</f>
        <v>494.88</v>
      </c>
      <c r="AA482" s="16">
        <f>IF(Augmented_Data!Q482="0 delivery charge",Augmented_Data!Z482-Augmented_Data!T482,Augmented_Data!Z482*(1-Augmented_Data!Q482))</f>
        <v>445.392</v>
      </c>
    </row>
    <row r="483" spans="1:27" x14ac:dyDescent="0.3">
      <c r="A483" s="11" t="s">
        <v>67</v>
      </c>
      <c r="B483" s="11" t="str">
        <f>_xlfn.CONCAT(Augmented_Data!$C483," ",Augmented_Data!$D483)</f>
        <v>Brittany Stewart</v>
      </c>
      <c r="C483" s="11" t="s">
        <v>161</v>
      </c>
      <c r="D483" s="11" t="s">
        <v>211</v>
      </c>
      <c r="E483" s="11">
        <v>68</v>
      </c>
      <c r="F483" s="11" t="s">
        <v>290</v>
      </c>
      <c r="G483" s="11" t="s">
        <v>298</v>
      </c>
      <c r="H483" s="11" t="s">
        <v>348</v>
      </c>
      <c r="I483" s="11" t="s">
        <v>448</v>
      </c>
      <c r="J483" s="11" t="s">
        <v>980</v>
      </c>
      <c r="K483" s="12">
        <v>45072</v>
      </c>
      <c r="L483" s="11" t="s">
        <v>1478</v>
      </c>
      <c r="M483" s="11" t="s">
        <v>1529</v>
      </c>
      <c r="N483" s="11">
        <v>128.13999999999999</v>
      </c>
      <c r="O483" s="11">
        <v>3</v>
      </c>
      <c r="P483" s="11" t="s">
        <v>1550</v>
      </c>
      <c r="Q483" s="11" t="str">
        <f>_xlfn.IFS(Augmented_Data!$P483="FLAT8","8%",Augmented_Data!$P483="FLAT10","10%",Augmented_Data!$P483="FLAT15","15%",Augmented_Data!$P483="FLAT20","20%",Augmented_Data!$P483="DEL0","0 delivery charge")</f>
        <v>20%</v>
      </c>
      <c r="R483" s="11">
        <v>2</v>
      </c>
      <c r="S483" s="11" t="str">
        <f>_xlfn.IFS(Augmented_Data!U483-Augmented_Data!K483=Augmented_Data!$R483,"Intime",Augmented_Data!U483-Augmented_Data!K483&lt;Augmented_Data!R483,"Before Time",Augmented_Data!U483-Augmented_Data!K483&gt;Augmented_Data!R483,"Late")</f>
        <v>Late</v>
      </c>
      <c r="T483" s="11">
        <v>59</v>
      </c>
      <c r="U483" s="12">
        <v>45076</v>
      </c>
      <c r="V483" s="11">
        <f>DATEDIF(Augmented_Data!$K483,Augmented_Data!$U483,"D")</f>
        <v>4</v>
      </c>
      <c r="W483" s="11" t="s">
        <v>2028</v>
      </c>
      <c r="X483" s="11">
        <f>Augmented_Data!$Z483-Augmented_Data!$AA483</f>
        <v>88.683999999999969</v>
      </c>
      <c r="Y483" s="11">
        <f>Augmented_Data!$N483*Augmented_Data!$O483</f>
        <v>384.41999999999996</v>
      </c>
      <c r="Z483" s="11">
        <f>Augmented_Data!$Y483+Augmented_Data!$T483</f>
        <v>443.41999999999996</v>
      </c>
      <c r="AA483" s="13">
        <f>IF(Augmented_Data!Q483="0 delivery charge",Augmented_Data!Z483-Augmented_Data!T483,Augmented_Data!Z483*(1-Augmented_Data!Q483))</f>
        <v>354.73599999999999</v>
      </c>
    </row>
    <row r="484" spans="1:27" x14ac:dyDescent="0.3">
      <c r="A484" s="14" t="s">
        <v>35</v>
      </c>
      <c r="B484" s="14" t="str">
        <f>_xlfn.CONCAT(Augmented_Data!$C484," ",Augmented_Data!$D484)</f>
        <v>Mallory Mitchell</v>
      </c>
      <c r="C484" s="14" t="s">
        <v>135</v>
      </c>
      <c r="D484" s="14" t="s">
        <v>162</v>
      </c>
      <c r="E484" s="14">
        <v>42</v>
      </c>
      <c r="F484" s="14" t="s">
        <v>289</v>
      </c>
      <c r="G484" s="14" t="s">
        <v>297</v>
      </c>
      <c r="H484" s="14" t="s">
        <v>316</v>
      </c>
      <c r="I484" s="14" t="s">
        <v>416</v>
      </c>
      <c r="J484" s="14" t="s">
        <v>981</v>
      </c>
      <c r="K484" s="15">
        <v>45290</v>
      </c>
      <c r="L484" s="14" t="s">
        <v>1479</v>
      </c>
      <c r="M484" s="14" t="s">
        <v>1513</v>
      </c>
      <c r="N484" s="14">
        <v>20.7</v>
      </c>
      <c r="O484" s="14">
        <v>1</v>
      </c>
      <c r="P484" s="14" t="s">
        <v>1549</v>
      </c>
      <c r="Q484" s="14" t="str">
        <f>_xlfn.IFS(Augmented_Data!$P484="FLAT8","8%",Augmented_Data!$P484="FLAT10","10%",Augmented_Data!$P484="FLAT15","15%",Augmented_Data!$P484="FLAT20","20%",Augmented_Data!$P484="DEL0","0 delivery charge")</f>
        <v>10%</v>
      </c>
      <c r="R484" s="14">
        <v>5</v>
      </c>
      <c r="S484" s="14" t="str">
        <f>_xlfn.IFS(Augmented_Data!U484-Augmented_Data!K484=Augmented_Data!$R484,"Intime",Augmented_Data!U484-Augmented_Data!K484&lt;Augmented_Data!R484,"Before Time",Augmented_Data!U484-Augmented_Data!K484&gt;Augmented_Data!R484,"Late")</f>
        <v>Before Time</v>
      </c>
      <c r="T484" s="14">
        <v>55</v>
      </c>
      <c r="U484" s="15">
        <v>45291</v>
      </c>
      <c r="V484" s="14">
        <f>DATEDIF(Augmented_Data!$K484,Augmented_Data!$U484,"D")</f>
        <v>1</v>
      </c>
      <c r="W484" s="14" t="s">
        <v>2029</v>
      </c>
      <c r="X484" s="14">
        <f>Augmented_Data!$Z484-Augmented_Data!$AA484</f>
        <v>7.5699999999999932</v>
      </c>
      <c r="Y484" s="14">
        <f>Augmented_Data!$N484*Augmented_Data!$O484</f>
        <v>20.7</v>
      </c>
      <c r="Z484" s="14">
        <f>Augmented_Data!$Y484+Augmented_Data!$T484</f>
        <v>75.7</v>
      </c>
      <c r="AA484" s="16">
        <f>IF(Augmented_Data!Q484="0 delivery charge",Augmented_Data!Z484-Augmented_Data!T484,Augmented_Data!Z484*(1-Augmented_Data!Q484))</f>
        <v>68.13000000000001</v>
      </c>
    </row>
    <row r="485" spans="1:27" x14ac:dyDescent="0.3">
      <c r="A485" s="11" t="s">
        <v>35</v>
      </c>
      <c r="B485" s="11" t="str">
        <f>_xlfn.CONCAT(Augmented_Data!$C485," ",Augmented_Data!$D485)</f>
        <v>Mallory Mitchell</v>
      </c>
      <c r="C485" s="11" t="s">
        <v>135</v>
      </c>
      <c r="D485" s="11" t="s">
        <v>162</v>
      </c>
      <c r="E485" s="11">
        <v>42</v>
      </c>
      <c r="F485" s="11" t="s">
        <v>289</v>
      </c>
      <c r="G485" s="11" t="s">
        <v>297</v>
      </c>
      <c r="H485" s="11" t="s">
        <v>316</v>
      </c>
      <c r="I485" s="11" t="s">
        <v>416</v>
      </c>
      <c r="J485" s="11" t="s">
        <v>982</v>
      </c>
      <c r="K485" s="12">
        <v>45128</v>
      </c>
      <c r="L485" s="11" t="s">
        <v>1480</v>
      </c>
      <c r="M485" s="11" t="s">
        <v>1520</v>
      </c>
      <c r="N485" s="11">
        <v>62.42</v>
      </c>
      <c r="O485" s="11">
        <v>3</v>
      </c>
      <c r="P485" s="11" t="s">
        <v>2047</v>
      </c>
      <c r="Q485" s="11" t="str">
        <f>_xlfn.IFS(Augmented_Data!$P485="FLAT8","8%",Augmented_Data!$P485="FLAT10","10%",Augmented_Data!$P485="FLAT15","15%",Augmented_Data!$P485="FLAT20","20%",Augmented_Data!$P485="DEL0","0 delivery charge")</f>
        <v>8%</v>
      </c>
      <c r="R485" s="11">
        <v>6</v>
      </c>
      <c r="S485" s="11" t="str">
        <f>_xlfn.IFS(Augmented_Data!U485-Augmented_Data!K485=Augmented_Data!$R485,"Intime",Augmented_Data!U485-Augmented_Data!K485&lt;Augmented_Data!R485,"Before Time",Augmented_Data!U485-Augmented_Data!K485&gt;Augmented_Data!R485,"Late")</f>
        <v>Before Time</v>
      </c>
      <c r="T485" s="11">
        <v>39</v>
      </c>
      <c r="U485" s="12">
        <v>45129</v>
      </c>
      <c r="V485" s="11">
        <f>DATEDIF(Augmented_Data!$K485,Augmented_Data!$U485,"D")</f>
        <v>1</v>
      </c>
      <c r="W485" s="11" t="s">
        <v>2030</v>
      </c>
      <c r="X485" s="11">
        <f>Augmented_Data!$Z485-Augmented_Data!$AA485</f>
        <v>18.100799999999992</v>
      </c>
      <c r="Y485" s="11">
        <f>Augmented_Data!$N485*Augmented_Data!$O485</f>
        <v>187.26</v>
      </c>
      <c r="Z485" s="11">
        <f>Augmented_Data!$Y485+Augmented_Data!$T485</f>
        <v>226.26</v>
      </c>
      <c r="AA485" s="13">
        <f>IF(Augmented_Data!Q485="0 delivery charge",Augmented_Data!Z485-Augmented_Data!T485,Augmented_Data!Z485*(1-Augmented_Data!Q485))</f>
        <v>208.1592</v>
      </c>
    </row>
    <row r="486" spans="1:27" x14ac:dyDescent="0.3">
      <c r="A486" s="14" t="s">
        <v>36</v>
      </c>
      <c r="B486" s="14" t="str">
        <f>_xlfn.CONCAT(Augmented_Data!$C486," ",Augmented_Data!$D486)</f>
        <v>Traci Jones</v>
      </c>
      <c r="C486" s="14" t="s">
        <v>136</v>
      </c>
      <c r="D486" s="14" t="s">
        <v>217</v>
      </c>
      <c r="E486" s="14">
        <v>34</v>
      </c>
      <c r="F486" s="14" t="s">
        <v>288</v>
      </c>
      <c r="G486" s="14" t="s">
        <v>296</v>
      </c>
      <c r="H486" s="14" t="s">
        <v>317</v>
      </c>
      <c r="I486" s="14" t="s">
        <v>417</v>
      </c>
      <c r="J486" s="14" t="s">
        <v>983</v>
      </c>
      <c r="K486" s="15">
        <v>45283</v>
      </c>
      <c r="L486" s="14" t="s">
        <v>1481</v>
      </c>
      <c r="M486" s="14" t="s">
        <v>1525</v>
      </c>
      <c r="N486" s="14">
        <v>481.48</v>
      </c>
      <c r="O486" s="14">
        <v>1</v>
      </c>
      <c r="P486" s="14" t="s">
        <v>2047</v>
      </c>
      <c r="Q486" s="14" t="str">
        <f>_xlfn.IFS(Augmented_Data!$P486="FLAT8","8%",Augmented_Data!$P486="FLAT10","10%",Augmented_Data!$P486="FLAT15","15%",Augmented_Data!$P486="FLAT20","20%",Augmented_Data!$P486="DEL0","0 delivery charge")</f>
        <v>8%</v>
      </c>
      <c r="R486" s="14">
        <v>5</v>
      </c>
      <c r="S486" s="14" t="str">
        <f>_xlfn.IFS(Augmented_Data!U486-Augmented_Data!K486=Augmented_Data!$R486,"Intime",Augmented_Data!U486-Augmented_Data!K486&lt;Augmented_Data!R486,"Before Time",Augmented_Data!U486-Augmented_Data!K486&gt;Augmented_Data!R486,"Late")</f>
        <v>Before Time</v>
      </c>
      <c r="T486" s="14">
        <v>70</v>
      </c>
      <c r="U486" s="15">
        <v>45287</v>
      </c>
      <c r="V486" s="14">
        <f>DATEDIF(Augmented_Data!$K486,Augmented_Data!$U486,"D")</f>
        <v>4</v>
      </c>
      <c r="W486" s="14" t="s">
        <v>2031</v>
      </c>
      <c r="X486" s="14">
        <f>Augmented_Data!$Z486-Augmented_Data!$AA486</f>
        <v>44.118399999999951</v>
      </c>
      <c r="Y486" s="14">
        <f>Augmented_Data!$N486*Augmented_Data!$O486</f>
        <v>481.48</v>
      </c>
      <c r="Z486" s="14">
        <f>Augmented_Data!$Y486+Augmented_Data!$T486</f>
        <v>551.48</v>
      </c>
      <c r="AA486" s="16">
        <f>IF(Augmented_Data!Q486="0 delivery charge",Augmented_Data!Z486-Augmented_Data!T486,Augmented_Data!Z486*(1-Augmented_Data!Q486))</f>
        <v>507.36160000000007</v>
      </c>
    </row>
    <row r="487" spans="1:27" x14ac:dyDescent="0.3">
      <c r="A487" s="11" t="s">
        <v>51</v>
      </c>
      <c r="B487" s="11" t="str">
        <f>_xlfn.CONCAT(Augmented_Data!$C487," ",Augmented_Data!$D487)</f>
        <v>Courtney Parker</v>
      </c>
      <c r="C487" s="11" t="s">
        <v>149</v>
      </c>
      <c r="D487" s="11" t="s">
        <v>232</v>
      </c>
      <c r="E487" s="11">
        <v>29</v>
      </c>
      <c r="F487" s="11" t="s">
        <v>290</v>
      </c>
      <c r="G487" s="11" t="s">
        <v>296</v>
      </c>
      <c r="H487" s="11" t="s">
        <v>332</v>
      </c>
      <c r="I487" s="11" t="s">
        <v>432</v>
      </c>
      <c r="J487" s="11" t="s">
        <v>984</v>
      </c>
      <c r="K487" s="12">
        <v>45633</v>
      </c>
      <c r="L487" s="11" t="s">
        <v>1482</v>
      </c>
      <c r="M487" s="11" t="s">
        <v>1497</v>
      </c>
      <c r="N487" s="11">
        <v>308.88</v>
      </c>
      <c r="O487" s="11">
        <v>3</v>
      </c>
      <c r="P487" s="11" t="s">
        <v>1550</v>
      </c>
      <c r="Q487" s="11" t="str">
        <f>_xlfn.IFS(Augmented_Data!$P487="FLAT8","8%",Augmented_Data!$P487="FLAT10","10%",Augmented_Data!$P487="FLAT15","15%",Augmented_Data!$P487="FLAT20","20%",Augmented_Data!$P487="DEL0","0 delivery charge")</f>
        <v>20%</v>
      </c>
      <c r="R487" s="11">
        <v>5</v>
      </c>
      <c r="S487" s="11" t="str">
        <f>_xlfn.IFS(Augmented_Data!U487-Augmented_Data!K487=Augmented_Data!$R487,"Intime",Augmented_Data!U487-Augmented_Data!K487&lt;Augmented_Data!R487,"Before Time",Augmented_Data!U487-Augmented_Data!K487&gt;Augmented_Data!R487,"Late")</f>
        <v>Before Time</v>
      </c>
      <c r="T487" s="11">
        <v>68</v>
      </c>
      <c r="U487" s="12">
        <v>45636</v>
      </c>
      <c r="V487" s="11">
        <f>DATEDIF(Augmented_Data!$K487,Augmented_Data!$U487,"D")</f>
        <v>3</v>
      </c>
      <c r="W487" s="11" t="s">
        <v>2032</v>
      </c>
      <c r="X487" s="11">
        <f>Augmented_Data!$Z487-Augmented_Data!$AA487</f>
        <v>198.928</v>
      </c>
      <c r="Y487" s="11">
        <f>Augmented_Data!$N487*Augmented_Data!$O487</f>
        <v>926.64</v>
      </c>
      <c r="Z487" s="11">
        <f>Augmented_Data!$Y487+Augmented_Data!$T487</f>
        <v>994.64</v>
      </c>
      <c r="AA487" s="13">
        <f>IF(Augmented_Data!Q487="0 delivery charge",Augmented_Data!Z487-Augmented_Data!T487,Augmented_Data!Z487*(1-Augmented_Data!Q487))</f>
        <v>795.71199999999999</v>
      </c>
    </row>
    <row r="488" spans="1:27" x14ac:dyDescent="0.3">
      <c r="A488" s="14" t="s">
        <v>20</v>
      </c>
      <c r="B488" s="14" t="str">
        <f>_xlfn.CONCAT(Augmented_Data!$C488," ",Augmented_Data!$D488)</f>
        <v>Hannah Gutierrez</v>
      </c>
      <c r="C488" s="14" t="s">
        <v>120</v>
      </c>
      <c r="D488" s="14" t="s">
        <v>202</v>
      </c>
      <c r="E488" s="14">
        <v>55</v>
      </c>
      <c r="F488" s="14" t="s">
        <v>289</v>
      </c>
      <c r="G488" s="14" t="s">
        <v>293</v>
      </c>
      <c r="H488" s="14" t="s">
        <v>301</v>
      </c>
      <c r="I488" s="14" t="s">
        <v>401</v>
      </c>
      <c r="J488" s="14" t="s">
        <v>985</v>
      </c>
      <c r="K488" s="15">
        <v>45356</v>
      </c>
      <c r="L488" s="14" t="s">
        <v>1483</v>
      </c>
      <c r="M488" s="14" t="s">
        <v>1505</v>
      </c>
      <c r="N488" s="14">
        <v>48.45</v>
      </c>
      <c r="O488" s="14">
        <v>3</v>
      </c>
      <c r="P488" s="14" t="s">
        <v>1550</v>
      </c>
      <c r="Q488" s="14" t="str">
        <f>_xlfn.IFS(Augmented_Data!$P488="FLAT8","8%",Augmented_Data!$P488="FLAT10","10%",Augmented_Data!$P488="FLAT15","15%",Augmented_Data!$P488="FLAT20","20%",Augmented_Data!$P488="DEL0","0 delivery charge")</f>
        <v>20%</v>
      </c>
      <c r="R488" s="14">
        <v>6</v>
      </c>
      <c r="S488" s="14" t="str">
        <f>_xlfn.IFS(Augmented_Data!U488-Augmented_Data!K488=Augmented_Data!$R488,"Intime",Augmented_Data!U488-Augmented_Data!K488&lt;Augmented_Data!R488,"Before Time",Augmented_Data!U488-Augmented_Data!K488&gt;Augmented_Data!R488,"Late")</f>
        <v>Before Time</v>
      </c>
      <c r="T488" s="14">
        <v>43</v>
      </c>
      <c r="U488" s="15">
        <v>45358</v>
      </c>
      <c r="V488" s="14">
        <f>DATEDIF(Augmented_Data!$K488,Augmented_Data!$U488,"D")</f>
        <v>2</v>
      </c>
      <c r="W488" s="14" t="s">
        <v>2033</v>
      </c>
      <c r="X488" s="14">
        <f>Augmented_Data!$Z488-Augmented_Data!$AA488</f>
        <v>37.669999999999987</v>
      </c>
      <c r="Y488" s="14">
        <f>Augmented_Data!$N488*Augmented_Data!$O488</f>
        <v>145.35000000000002</v>
      </c>
      <c r="Z488" s="14">
        <f>Augmented_Data!$Y488+Augmented_Data!$T488</f>
        <v>188.35000000000002</v>
      </c>
      <c r="AA488" s="16">
        <f>IF(Augmented_Data!Q488="0 delivery charge",Augmented_Data!Z488-Augmented_Data!T488,Augmented_Data!Z488*(1-Augmented_Data!Q488))</f>
        <v>150.68000000000004</v>
      </c>
    </row>
    <row r="489" spans="1:27" x14ac:dyDescent="0.3">
      <c r="A489" s="11" t="s">
        <v>29</v>
      </c>
      <c r="B489" s="11" t="str">
        <f>_xlfn.CONCAT(Augmented_Data!$C489," ",Augmented_Data!$D489)</f>
        <v>Joseph Stewart</v>
      </c>
      <c r="C489" s="11" t="s">
        <v>129</v>
      </c>
      <c r="D489" s="11" t="s">
        <v>211</v>
      </c>
      <c r="E489" s="11">
        <v>30</v>
      </c>
      <c r="F489" s="11" t="s">
        <v>289</v>
      </c>
      <c r="G489" s="11" t="s">
        <v>292</v>
      </c>
      <c r="H489" s="11" t="s">
        <v>310</v>
      </c>
      <c r="I489" s="11" t="s">
        <v>410</v>
      </c>
      <c r="J489" s="11" t="s">
        <v>986</v>
      </c>
      <c r="K489" s="12">
        <v>45188</v>
      </c>
      <c r="L489" s="11" t="s">
        <v>1484</v>
      </c>
      <c r="M489" s="11" t="s">
        <v>1544</v>
      </c>
      <c r="N489" s="11">
        <v>107.47</v>
      </c>
      <c r="O489" s="11">
        <v>4</v>
      </c>
      <c r="P489" s="11" t="s">
        <v>2047</v>
      </c>
      <c r="Q489" s="11" t="str">
        <f>_xlfn.IFS(Augmented_Data!$P489="FLAT8","8%",Augmented_Data!$P489="FLAT10","10%",Augmented_Data!$P489="FLAT15","15%",Augmented_Data!$P489="FLAT20","20%",Augmented_Data!$P489="DEL0","0 delivery charge")</f>
        <v>8%</v>
      </c>
      <c r="R489" s="11">
        <v>2</v>
      </c>
      <c r="S489" s="11" t="str">
        <f>_xlfn.IFS(Augmented_Data!U489-Augmented_Data!K489=Augmented_Data!$R489,"Intime",Augmented_Data!U489-Augmented_Data!K489&lt;Augmented_Data!R489,"Before Time",Augmented_Data!U489-Augmented_Data!K489&gt;Augmented_Data!R489,"Late")</f>
        <v>Late</v>
      </c>
      <c r="T489" s="11">
        <v>35</v>
      </c>
      <c r="U489" s="12">
        <v>45191</v>
      </c>
      <c r="V489" s="11">
        <f>DATEDIF(Augmented_Data!$K489,Augmented_Data!$U489,"D")</f>
        <v>3</v>
      </c>
      <c r="W489" s="11" t="s">
        <v>2034</v>
      </c>
      <c r="X489" s="11">
        <f>Augmented_Data!$Z489-Augmented_Data!$AA489</f>
        <v>37.190399999999954</v>
      </c>
      <c r="Y489" s="11">
        <f>Augmented_Data!$N489*Augmented_Data!$O489</f>
        <v>429.88</v>
      </c>
      <c r="Z489" s="11">
        <f>Augmented_Data!$Y489+Augmented_Data!$T489</f>
        <v>464.88</v>
      </c>
      <c r="AA489" s="13">
        <f>IF(Augmented_Data!Q489="0 delivery charge",Augmented_Data!Z489-Augmented_Data!T489,Augmented_Data!Z489*(1-Augmented_Data!Q489))</f>
        <v>427.68960000000004</v>
      </c>
    </row>
    <row r="490" spans="1:27" x14ac:dyDescent="0.3">
      <c r="A490" s="14" t="s">
        <v>57</v>
      </c>
      <c r="B490" s="14" t="str">
        <f>_xlfn.CONCAT(Augmented_Data!$C490," ",Augmented_Data!$D490)</f>
        <v>Aaron Thompson</v>
      </c>
      <c r="C490" s="14" t="s">
        <v>155</v>
      </c>
      <c r="D490" s="14" t="s">
        <v>238</v>
      </c>
      <c r="E490" s="14">
        <v>47</v>
      </c>
      <c r="F490" s="14" t="s">
        <v>289</v>
      </c>
      <c r="G490" s="14" t="s">
        <v>296</v>
      </c>
      <c r="H490" s="14" t="s">
        <v>338</v>
      </c>
      <c r="I490" s="14" t="s">
        <v>438</v>
      </c>
      <c r="J490" s="14" t="s">
        <v>987</v>
      </c>
      <c r="K490" s="15">
        <v>45681</v>
      </c>
      <c r="L490" s="14" t="s">
        <v>1485</v>
      </c>
      <c r="M490" s="14" t="s">
        <v>1499</v>
      </c>
      <c r="N490" s="14">
        <v>441.03</v>
      </c>
      <c r="O490" s="14">
        <v>5</v>
      </c>
      <c r="P490" s="14" t="s">
        <v>2047</v>
      </c>
      <c r="Q490" s="14" t="str">
        <f>_xlfn.IFS(Augmented_Data!$P490="FLAT8","8%",Augmented_Data!$P490="FLAT10","10%",Augmented_Data!$P490="FLAT15","15%",Augmented_Data!$P490="FLAT20","20%",Augmented_Data!$P490="DEL0","0 delivery charge")</f>
        <v>8%</v>
      </c>
      <c r="R490" s="14">
        <v>5</v>
      </c>
      <c r="S490" s="14" t="str">
        <f>_xlfn.IFS(Augmented_Data!U490-Augmented_Data!K490=Augmented_Data!$R490,"Intime",Augmented_Data!U490-Augmented_Data!K490&lt;Augmented_Data!R490,"Before Time",Augmented_Data!U490-Augmented_Data!K490&gt;Augmented_Data!R490,"Late")</f>
        <v>Before Time</v>
      </c>
      <c r="T490" s="14">
        <v>62</v>
      </c>
      <c r="U490" s="15">
        <v>45682</v>
      </c>
      <c r="V490" s="14">
        <f>DATEDIF(Augmented_Data!$K490,Augmented_Data!$U490,"D")</f>
        <v>1</v>
      </c>
      <c r="W490" s="14" t="s">
        <v>2035</v>
      </c>
      <c r="X490" s="14">
        <f>Augmented_Data!$Z490-Augmented_Data!$AA490</f>
        <v>181.37199999999984</v>
      </c>
      <c r="Y490" s="14">
        <f>Augmented_Data!$N490*Augmented_Data!$O490</f>
        <v>2205.1499999999996</v>
      </c>
      <c r="Z490" s="14">
        <f>Augmented_Data!$Y490+Augmented_Data!$T490</f>
        <v>2267.1499999999996</v>
      </c>
      <c r="AA490" s="16">
        <f>IF(Augmented_Data!Q490="0 delivery charge",Augmented_Data!Z490-Augmented_Data!T490,Augmented_Data!Z490*(1-Augmented_Data!Q490))</f>
        <v>2085.7779999999998</v>
      </c>
    </row>
    <row r="491" spans="1:27" x14ac:dyDescent="0.3">
      <c r="A491" s="11" t="s">
        <v>76</v>
      </c>
      <c r="B491" s="11" t="str">
        <f>_xlfn.CONCAT(Augmented_Data!$C491," ",Augmented_Data!$D491)</f>
        <v>Ashley Romero</v>
      </c>
      <c r="C491" s="11" t="s">
        <v>142</v>
      </c>
      <c r="D491" s="11" t="s">
        <v>254</v>
      </c>
      <c r="E491" s="11">
        <v>35</v>
      </c>
      <c r="F491" s="11" t="s">
        <v>288</v>
      </c>
      <c r="G491" s="11" t="s">
        <v>291</v>
      </c>
      <c r="H491" s="11" t="s">
        <v>357</v>
      </c>
      <c r="I491" s="11" t="s">
        <v>457</v>
      </c>
      <c r="J491" s="11" t="s">
        <v>988</v>
      </c>
      <c r="K491" s="12">
        <v>45007</v>
      </c>
      <c r="L491" s="11" t="s">
        <v>1486</v>
      </c>
      <c r="M491" s="11" t="s">
        <v>1546</v>
      </c>
      <c r="N491" s="11">
        <v>33.49</v>
      </c>
      <c r="O491" s="11">
        <v>4</v>
      </c>
      <c r="P491" s="11" t="s">
        <v>1550</v>
      </c>
      <c r="Q491" s="11" t="str">
        <f>_xlfn.IFS(Augmented_Data!$P491="FLAT8","8%",Augmented_Data!$P491="FLAT10","10%",Augmented_Data!$P491="FLAT15","15%",Augmented_Data!$P491="FLAT20","20%",Augmented_Data!$P491="DEL0","0 delivery charge")</f>
        <v>20%</v>
      </c>
      <c r="R491" s="11">
        <v>7</v>
      </c>
      <c r="S491" s="11" t="str">
        <f>_xlfn.IFS(Augmented_Data!U491-Augmented_Data!K491=Augmented_Data!$R491,"Intime",Augmented_Data!U491-Augmented_Data!K491&lt;Augmented_Data!R491,"Before Time",Augmented_Data!U491-Augmented_Data!K491&gt;Augmented_Data!R491,"Late")</f>
        <v>Before Time</v>
      </c>
      <c r="T491" s="11">
        <v>54</v>
      </c>
      <c r="U491" s="12">
        <v>45008</v>
      </c>
      <c r="V491" s="11">
        <f>DATEDIF(Augmented_Data!$K491,Augmented_Data!$U491,"D")</f>
        <v>1</v>
      </c>
      <c r="W491" s="11" t="s">
        <v>2036</v>
      </c>
      <c r="X491" s="11">
        <f>Augmented_Data!$Z491-Augmented_Data!$AA491</f>
        <v>37.591999999999985</v>
      </c>
      <c r="Y491" s="11">
        <f>Augmented_Data!$N491*Augmented_Data!$O491</f>
        <v>133.96</v>
      </c>
      <c r="Z491" s="11">
        <f>Augmented_Data!$Y491+Augmented_Data!$T491</f>
        <v>187.96</v>
      </c>
      <c r="AA491" s="13">
        <f>IF(Augmented_Data!Q491="0 delivery charge",Augmented_Data!Z491-Augmented_Data!T491,Augmented_Data!Z491*(1-Augmented_Data!Q491))</f>
        <v>150.36800000000002</v>
      </c>
    </row>
    <row r="492" spans="1:27" x14ac:dyDescent="0.3">
      <c r="A492" s="14" t="s">
        <v>86</v>
      </c>
      <c r="B492" s="14" t="str">
        <f>_xlfn.CONCAT(Augmented_Data!$C492," ",Augmented_Data!$D492)</f>
        <v>Gregory Lee</v>
      </c>
      <c r="C492" s="14" t="s">
        <v>176</v>
      </c>
      <c r="D492" s="14" t="s">
        <v>263</v>
      </c>
      <c r="E492" s="14">
        <v>26</v>
      </c>
      <c r="F492" s="14" t="s">
        <v>290</v>
      </c>
      <c r="G492" s="14" t="s">
        <v>295</v>
      </c>
      <c r="H492" s="14" t="s">
        <v>367</v>
      </c>
      <c r="I492" s="14" t="s">
        <v>467</v>
      </c>
      <c r="J492" s="14" t="s">
        <v>989</v>
      </c>
      <c r="K492" s="15">
        <v>45204</v>
      </c>
      <c r="L492" s="14" t="s">
        <v>1487</v>
      </c>
      <c r="M492" s="14" t="s">
        <v>1546</v>
      </c>
      <c r="N492" s="14">
        <v>33.49</v>
      </c>
      <c r="O492" s="14">
        <v>1</v>
      </c>
      <c r="P492" s="14" t="s">
        <v>1548</v>
      </c>
      <c r="Q492" s="14" t="str">
        <f>_xlfn.IFS(Augmented_Data!$P492="FLAT8","8%",Augmented_Data!$P492="FLAT10","10%",Augmented_Data!$P492="FLAT15","15%",Augmented_Data!$P492="FLAT20","20%",Augmented_Data!$P492="DEL0","0 delivery charge")</f>
        <v>15%</v>
      </c>
      <c r="R492" s="14">
        <v>4</v>
      </c>
      <c r="S492" s="14" t="str">
        <f>_xlfn.IFS(Augmented_Data!U492-Augmented_Data!K492=Augmented_Data!$R492,"Intime",Augmented_Data!U492-Augmented_Data!K492&lt;Augmented_Data!R492,"Before Time",Augmented_Data!U492-Augmented_Data!K492&gt;Augmented_Data!R492,"Late")</f>
        <v>Before Time</v>
      </c>
      <c r="T492" s="14">
        <v>44</v>
      </c>
      <c r="U492" s="15">
        <v>45206</v>
      </c>
      <c r="V492" s="14">
        <f>DATEDIF(Augmented_Data!$K492,Augmented_Data!$U492,"D")</f>
        <v>2</v>
      </c>
      <c r="W492" s="14" t="s">
        <v>2037</v>
      </c>
      <c r="X492" s="14">
        <f>Augmented_Data!$Z492-Augmented_Data!$AA492</f>
        <v>11.623500000000007</v>
      </c>
      <c r="Y492" s="14">
        <f>Augmented_Data!$N492*Augmented_Data!$O492</f>
        <v>33.49</v>
      </c>
      <c r="Z492" s="14">
        <f>Augmented_Data!$Y492+Augmented_Data!$T492</f>
        <v>77.490000000000009</v>
      </c>
      <c r="AA492" s="16">
        <f>IF(Augmented_Data!Q492="0 delivery charge",Augmented_Data!Z492-Augmented_Data!T492,Augmented_Data!Z492*(1-Augmented_Data!Q492))</f>
        <v>65.866500000000002</v>
      </c>
    </row>
    <row r="493" spans="1:27" x14ac:dyDescent="0.3">
      <c r="A493" s="11" t="s">
        <v>67</v>
      </c>
      <c r="B493" s="11" t="str">
        <f>_xlfn.CONCAT(Augmented_Data!$C493," ",Augmented_Data!$D493)</f>
        <v>Brittany Stewart</v>
      </c>
      <c r="C493" s="11" t="s">
        <v>161</v>
      </c>
      <c r="D493" s="11" t="s">
        <v>211</v>
      </c>
      <c r="E493" s="11">
        <v>68</v>
      </c>
      <c r="F493" s="11" t="s">
        <v>290</v>
      </c>
      <c r="G493" s="11" t="s">
        <v>298</v>
      </c>
      <c r="H493" s="11" t="s">
        <v>348</v>
      </c>
      <c r="I493" s="11" t="s">
        <v>448</v>
      </c>
      <c r="J493" s="11" t="s">
        <v>990</v>
      </c>
      <c r="K493" s="12">
        <v>45590</v>
      </c>
      <c r="L493" s="11" t="s">
        <v>1488</v>
      </c>
      <c r="M493" s="11" t="s">
        <v>1520</v>
      </c>
      <c r="N493" s="11">
        <v>62.42</v>
      </c>
      <c r="O493" s="11">
        <v>4</v>
      </c>
      <c r="P493" s="11" t="s">
        <v>1547</v>
      </c>
      <c r="Q493" s="11" t="str">
        <f>_xlfn.IFS(Augmented_Data!$P493="FLAT8","8%",Augmented_Data!$P493="FLAT10","10%",Augmented_Data!$P493="FLAT15","15%",Augmented_Data!$P493="FLAT20","20%",Augmented_Data!$P493="DEL0","0 delivery charge")</f>
        <v>0 delivery charge</v>
      </c>
      <c r="R493" s="11">
        <v>4</v>
      </c>
      <c r="S493" s="11" t="str">
        <f>_xlfn.IFS(Augmented_Data!U493-Augmented_Data!K493=Augmented_Data!$R493,"Intime",Augmented_Data!U493-Augmented_Data!K493&lt;Augmented_Data!R493,"Before Time",Augmented_Data!U493-Augmented_Data!K493&gt;Augmented_Data!R493,"Late")</f>
        <v>Late</v>
      </c>
      <c r="T493" s="11">
        <v>37</v>
      </c>
      <c r="U493" s="12">
        <v>45597</v>
      </c>
      <c r="V493" s="11">
        <f>DATEDIF(Augmented_Data!$K493,Augmented_Data!$U493,"D")</f>
        <v>7</v>
      </c>
      <c r="W493" s="11" t="s">
        <v>2038</v>
      </c>
      <c r="X493" s="11">
        <f>Augmented_Data!$Z493-Augmented_Data!$AA493</f>
        <v>37</v>
      </c>
      <c r="Y493" s="11">
        <f>Augmented_Data!$N493*Augmented_Data!$O493</f>
        <v>249.68</v>
      </c>
      <c r="Z493" s="11">
        <f>Augmented_Data!$Y493+Augmented_Data!$T493</f>
        <v>286.68</v>
      </c>
      <c r="AA493" s="13">
        <f>IF(Augmented_Data!Q493="0 delivery charge",Augmented_Data!Z493-Augmented_Data!T493,Augmented_Data!Z493*(1-Augmented_Data!Q493))</f>
        <v>249.68</v>
      </c>
    </row>
    <row r="494" spans="1:27" x14ac:dyDescent="0.3">
      <c r="A494" s="14" t="s">
        <v>54</v>
      </c>
      <c r="B494" s="14" t="str">
        <f>_xlfn.CONCAT(Augmented_Data!$C494," ",Augmented_Data!$D494)</f>
        <v>Robert Castillo</v>
      </c>
      <c r="C494" s="14" t="s">
        <v>152</v>
      </c>
      <c r="D494" s="14" t="s">
        <v>235</v>
      </c>
      <c r="E494" s="14">
        <v>32</v>
      </c>
      <c r="F494" s="14" t="s">
        <v>289</v>
      </c>
      <c r="G494" s="14" t="s">
        <v>297</v>
      </c>
      <c r="H494" s="14" t="s">
        <v>335</v>
      </c>
      <c r="I494" s="14" t="s">
        <v>435</v>
      </c>
      <c r="J494" s="14" t="s">
        <v>991</v>
      </c>
      <c r="K494" s="15">
        <v>45217</v>
      </c>
      <c r="L494" s="14" t="s">
        <v>1489</v>
      </c>
      <c r="M494" s="14" t="s">
        <v>1523</v>
      </c>
      <c r="N494" s="14">
        <v>129.75</v>
      </c>
      <c r="O494" s="14">
        <v>1</v>
      </c>
      <c r="P494" s="14" t="s">
        <v>2047</v>
      </c>
      <c r="Q494" s="14" t="str">
        <f>_xlfn.IFS(Augmented_Data!$P494="FLAT8","8%",Augmented_Data!$P494="FLAT10","10%",Augmented_Data!$P494="FLAT15","15%",Augmented_Data!$P494="FLAT20","20%",Augmented_Data!$P494="DEL0","0 delivery charge")</f>
        <v>8%</v>
      </c>
      <c r="R494" s="14">
        <v>7</v>
      </c>
      <c r="S494" s="14" t="str">
        <f>_xlfn.IFS(Augmented_Data!U494-Augmented_Data!K494=Augmented_Data!$R494,"Intime",Augmented_Data!U494-Augmented_Data!K494&lt;Augmented_Data!R494,"Before Time",Augmented_Data!U494-Augmented_Data!K494&gt;Augmented_Data!R494,"Late")</f>
        <v>Before Time</v>
      </c>
      <c r="T494" s="14">
        <v>56</v>
      </c>
      <c r="U494" s="15">
        <v>45219</v>
      </c>
      <c r="V494" s="14">
        <f>DATEDIF(Augmented_Data!$K494,Augmented_Data!$U494,"D")</f>
        <v>2</v>
      </c>
      <c r="W494" s="14" t="s">
        <v>2039</v>
      </c>
      <c r="X494" s="14">
        <f>Augmented_Data!$Z494-Augmented_Data!$AA494</f>
        <v>14.859999999999985</v>
      </c>
      <c r="Y494" s="14">
        <f>Augmented_Data!$N494*Augmented_Data!$O494</f>
        <v>129.75</v>
      </c>
      <c r="Z494" s="14">
        <f>Augmented_Data!$Y494+Augmented_Data!$T494</f>
        <v>185.75</v>
      </c>
      <c r="AA494" s="16">
        <f>IF(Augmented_Data!Q494="0 delivery charge",Augmented_Data!Z494-Augmented_Data!T494,Augmented_Data!Z494*(1-Augmented_Data!Q494))</f>
        <v>170.89000000000001</v>
      </c>
    </row>
    <row r="495" spans="1:27" x14ac:dyDescent="0.3">
      <c r="A495" s="11" t="s">
        <v>34</v>
      </c>
      <c r="B495" s="11" t="str">
        <f>_xlfn.CONCAT(Augmented_Data!$C495," ",Augmented_Data!$D495)</f>
        <v>Gina Moreno</v>
      </c>
      <c r="C495" s="11" t="s">
        <v>134</v>
      </c>
      <c r="D495" s="11" t="s">
        <v>216</v>
      </c>
      <c r="E495" s="11">
        <v>36</v>
      </c>
      <c r="F495" s="11" t="s">
        <v>290</v>
      </c>
      <c r="G495" s="11" t="s">
        <v>294</v>
      </c>
      <c r="H495" s="11" t="s">
        <v>315</v>
      </c>
      <c r="I495" s="11" t="s">
        <v>415</v>
      </c>
      <c r="J495" s="11" t="s">
        <v>992</v>
      </c>
      <c r="K495" s="12">
        <v>45182</v>
      </c>
      <c r="L495" s="11" t="s">
        <v>1490</v>
      </c>
      <c r="M495" s="11" t="s">
        <v>1513</v>
      </c>
      <c r="N495" s="11">
        <v>20.7</v>
      </c>
      <c r="O495" s="11">
        <v>4</v>
      </c>
      <c r="P495" s="11" t="s">
        <v>1550</v>
      </c>
      <c r="Q495" s="11" t="str">
        <f>_xlfn.IFS(Augmented_Data!$P495="FLAT8","8%",Augmented_Data!$P495="FLAT10","10%",Augmented_Data!$P495="FLAT15","15%",Augmented_Data!$P495="FLAT20","20%",Augmented_Data!$P495="DEL0","0 delivery charge")</f>
        <v>20%</v>
      </c>
      <c r="R495" s="11">
        <v>1</v>
      </c>
      <c r="S495" s="11" t="str">
        <f>_xlfn.IFS(Augmented_Data!U495-Augmented_Data!K495=Augmented_Data!$R495,"Intime",Augmented_Data!U495-Augmented_Data!K495&lt;Augmented_Data!R495,"Before Time",Augmented_Data!U495-Augmented_Data!K495&gt;Augmented_Data!R495,"Late")</f>
        <v>Late</v>
      </c>
      <c r="T495" s="11">
        <v>61</v>
      </c>
      <c r="U495" s="12">
        <v>45184</v>
      </c>
      <c r="V495" s="11">
        <f>DATEDIF(Augmented_Data!$K495,Augmented_Data!$U495,"D")</f>
        <v>2</v>
      </c>
      <c r="W495" s="11" t="s">
        <v>2040</v>
      </c>
      <c r="X495" s="11">
        <f>Augmented_Data!$Z495-Augmented_Data!$AA495</f>
        <v>28.759999999999991</v>
      </c>
      <c r="Y495" s="11">
        <f>Augmented_Data!$N495*Augmented_Data!$O495</f>
        <v>82.8</v>
      </c>
      <c r="Z495" s="11">
        <f>Augmented_Data!$Y495+Augmented_Data!$T495</f>
        <v>143.80000000000001</v>
      </c>
      <c r="AA495" s="13">
        <f>IF(Augmented_Data!Q495="0 delivery charge",Augmented_Data!Z495-Augmented_Data!T495,Augmented_Data!Z495*(1-Augmented_Data!Q495))</f>
        <v>115.04000000000002</v>
      </c>
    </row>
    <row r="496" spans="1:27" x14ac:dyDescent="0.3">
      <c r="A496" s="14" t="s">
        <v>30</v>
      </c>
      <c r="B496" s="14" t="str">
        <f>_xlfn.CONCAT(Augmented_Data!$C496," ",Augmented_Data!$D496)</f>
        <v>Kara Brennan</v>
      </c>
      <c r="C496" s="14" t="s">
        <v>130</v>
      </c>
      <c r="D496" s="14" t="s">
        <v>212</v>
      </c>
      <c r="E496" s="14">
        <v>25</v>
      </c>
      <c r="F496" s="14" t="s">
        <v>290</v>
      </c>
      <c r="G496" s="14" t="s">
        <v>294</v>
      </c>
      <c r="H496" s="14" t="s">
        <v>311</v>
      </c>
      <c r="I496" s="14" t="s">
        <v>411</v>
      </c>
      <c r="J496" s="14" t="s">
        <v>993</v>
      </c>
      <c r="K496" s="15">
        <v>45107</v>
      </c>
      <c r="L496" s="14" t="s">
        <v>1491</v>
      </c>
      <c r="M496" s="14" t="s">
        <v>1510</v>
      </c>
      <c r="N496" s="14">
        <v>220.27</v>
      </c>
      <c r="O496" s="14">
        <v>3</v>
      </c>
      <c r="P496" s="14" t="s">
        <v>1547</v>
      </c>
      <c r="Q496" s="14" t="str">
        <f>_xlfn.IFS(Augmented_Data!$P496="FLAT8","8%",Augmented_Data!$P496="FLAT10","10%",Augmented_Data!$P496="FLAT15","15%",Augmented_Data!$P496="FLAT20","20%",Augmented_Data!$P496="DEL0","0 delivery charge")</f>
        <v>0 delivery charge</v>
      </c>
      <c r="R496" s="14">
        <v>4</v>
      </c>
      <c r="S496" s="14" t="str">
        <f>_xlfn.IFS(Augmented_Data!U496-Augmented_Data!K496=Augmented_Data!$R496,"Intime",Augmented_Data!U496-Augmented_Data!K496&lt;Augmented_Data!R496,"Before Time",Augmented_Data!U496-Augmented_Data!K496&gt;Augmented_Data!R496,"Late")</f>
        <v>Before Time</v>
      </c>
      <c r="T496" s="14">
        <v>50</v>
      </c>
      <c r="U496" s="15">
        <v>45108</v>
      </c>
      <c r="V496" s="14">
        <f>DATEDIF(Augmented_Data!$K496,Augmented_Data!$U496,"D")</f>
        <v>1</v>
      </c>
      <c r="W496" s="14" t="s">
        <v>2041</v>
      </c>
      <c r="X496" s="14">
        <f>Augmented_Data!$Z496-Augmented_Data!$AA496</f>
        <v>50</v>
      </c>
      <c r="Y496" s="14">
        <f>Augmented_Data!$N496*Augmented_Data!$O496</f>
        <v>660.81000000000006</v>
      </c>
      <c r="Z496" s="14">
        <f>Augmented_Data!$Y496+Augmented_Data!$T496</f>
        <v>710.81000000000006</v>
      </c>
      <c r="AA496" s="16">
        <f>IF(Augmented_Data!Q496="0 delivery charge",Augmented_Data!Z496-Augmented_Data!T496,Augmented_Data!Z496*(1-Augmented_Data!Q496))</f>
        <v>660.81000000000006</v>
      </c>
    </row>
    <row r="497" spans="1:27" x14ac:dyDescent="0.3">
      <c r="A497" s="11" t="s">
        <v>39</v>
      </c>
      <c r="B497" s="11" t="str">
        <f>_xlfn.CONCAT(Augmented_Data!$C497," ",Augmented_Data!$D497)</f>
        <v>Mark Henderson</v>
      </c>
      <c r="C497" s="11" t="s">
        <v>139</v>
      </c>
      <c r="D497" s="11" t="s">
        <v>220</v>
      </c>
      <c r="E497" s="11">
        <v>33</v>
      </c>
      <c r="F497" s="11" t="s">
        <v>290</v>
      </c>
      <c r="G497" s="11" t="s">
        <v>298</v>
      </c>
      <c r="H497" s="11" t="s">
        <v>320</v>
      </c>
      <c r="I497" s="11" t="s">
        <v>420</v>
      </c>
      <c r="J497" s="11" t="s">
        <v>994</v>
      </c>
      <c r="K497" s="12">
        <v>45032</v>
      </c>
      <c r="L497" s="11" t="s">
        <v>1492</v>
      </c>
      <c r="M497" s="11" t="s">
        <v>1538</v>
      </c>
      <c r="N497" s="11">
        <v>433.62</v>
      </c>
      <c r="O497" s="11">
        <v>2</v>
      </c>
      <c r="P497" s="11" t="s">
        <v>2047</v>
      </c>
      <c r="Q497" s="11" t="str">
        <f>_xlfn.IFS(Augmented_Data!$P497="FLAT8","8%",Augmented_Data!$P497="FLAT10","10%",Augmented_Data!$P497="FLAT15","15%",Augmented_Data!$P497="FLAT20","20%",Augmented_Data!$P497="DEL0","0 delivery charge")</f>
        <v>8%</v>
      </c>
      <c r="R497" s="11">
        <v>7</v>
      </c>
      <c r="S497" s="11" t="str">
        <f>_xlfn.IFS(Augmented_Data!U497-Augmented_Data!K497=Augmented_Data!$R497,"Intime",Augmented_Data!U497-Augmented_Data!K497&lt;Augmented_Data!R497,"Before Time",Augmented_Data!U497-Augmented_Data!K497&gt;Augmented_Data!R497,"Late")</f>
        <v>Intime</v>
      </c>
      <c r="T497" s="11">
        <v>56</v>
      </c>
      <c r="U497" s="12">
        <v>45039</v>
      </c>
      <c r="V497" s="11">
        <f>DATEDIF(Augmented_Data!$K497,Augmented_Data!$U497,"D")</f>
        <v>7</v>
      </c>
      <c r="W497" s="11" t="s">
        <v>2042</v>
      </c>
      <c r="X497" s="11">
        <f>Augmented_Data!$Z497-Augmented_Data!$AA497</f>
        <v>73.859199999999987</v>
      </c>
      <c r="Y497" s="11">
        <f>Augmented_Data!$N497*Augmented_Data!$O497</f>
        <v>867.24</v>
      </c>
      <c r="Z497" s="11">
        <f>Augmented_Data!$Y497+Augmented_Data!$T497</f>
        <v>923.24</v>
      </c>
      <c r="AA497" s="13">
        <f>IF(Augmented_Data!Q497="0 delivery charge",Augmented_Data!Z497-Augmented_Data!T497,Augmented_Data!Z497*(1-Augmented_Data!Q497))</f>
        <v>849.38080000000002</v>
      </c>
    </row>
    <row r="498" spans="1:27" x14ac:dyDescent="0.3">
      <c r="A498" s="14" t="s">
        <v>98</v>
      </c>
      <c r="B498" s="14" t="str">
        <f>_xlfn.CONCAT(Augmented_Data!$C498," ",Augmented_Data!$D498)</f>
        <v>Katie Hicks</v>
      </c>
      <c r="C498" s="14" t="s">
        <v>187</v>
      </c>
      <c r="D498" s="14" t="s">
        <v>236</v>
      </c>
      <c r="E498" s="14">
        <v>34</v>
      </c>
      <c r="F498" s="14" t="s">
        <v>290</v>
      </c>
      <c r="G498" s="14" t="s">
        <v>293</v>
      </c>
      <c r="H498" s="14" t="s">
        <v>379</v>
      </c>
      <c r="I498" s="14" t="s">
        <v>479</v>
      </c>
      <c r="J498" s="14" t="s">
        <v>714</v>
      </c>
      <c r="K498" s="15">
        <v>45490</v>
      </c>
      <c r="L498" s="14" t="s">
        <v>1214</v>
      </c>
      <c r="M498" s="14" t="s">
        <v>1529</v>
      </c>
      <c r="N498" s="14">
        <v>128.13999999999999</v>
      </c>
      <c r="O498" s="14">
        <v>3</v>
      </c>
      <c r="P498" s="14" t="s">
        <v>2047</v>
      </c>
      <c r="Q498" s="14" t="str">
        <f>_xlfn.IFS(Augmented_Data!$P498="FLAT8","8%",Augmented_Data!$P498="FLAT10","10%",Augmented_Data!$P498="FLAT15","15%",Augmented_Data!$P498="FLAT20","20%",Augmented_Data!$P498="DEL0","0 delivery charge")</f>
        <v>8%</v>
      </c>
      <c r="R498" s="14">
        <v>5</v>
      </c>
      <c r="S498" s="14" t="str">
        <f>_xlfn.IFS(Augmented_Data!U498-Augmented_Data!K498=Augmented_Data!$R498,"Intime",Augmented_Data!U498-Augmented_Data!K498&lt;Augmented_Data!R498,"Before Time",Augmented_Data!U498-Augmented_Data!K498&gt;Augmented_Data!R498,"Late")</f>
        <v>Intime</v>
      </c>
      <c r="T498" s="14">
        <v>49</v>
      </c>
      <c r="U498" s="15">
        <v>45495</v>
      </c>
      <c r="V498" s="14">
        <f>DATEDIF(Augmented_Data!$K498,Augmented_Data!$U498,"D")</f>
        <v>5</v>
      </c>
      <c r="W498" s="14" t="s">
        <v>1765</v>
      </c>
      <c r="X498" s="14">
        <f>Augmented_Data!$Z498-Augmented_Data!$AA498</f>
        <v>34.673599999999965</v>
      </c>
      <c r="Y498" s="14">
        <f>Augmented_Data!$N498*Augmented_Data!$O498</f>
        <v>384.41999999999996</v>
      </c>
      <c r="Z498" s="14">
        <f>Augmented_Data!$Y498+Augmented_Data!$T498</f>
        <v>433.41999999999996</v>
      </c>
      <c r="AA498" s="16">
        <f>IF(Augmented_Data!Q498="0 delivery charge",Augmented_Data!Z498-Augmented_Data!T498,Augmented_Data!Z498*(1-Augmented_Data!Q498))</f>
        <v>398.74639999999999</v>
      </c>
    </row>
    <row r="499" spans="1:27" x14ac:dyDescent="0.3">
      <c r="A499" s="11" t="s">
        <v>93</v>
      </c>
      <c r="B499" s="11" t="str">
        <f>_xlfn.CONCAT(Augmented_Data!$C499," ",Augmented_Data!$D499)</f>
        <v>Diana French</v>
      </c>
      <c r="C499" s="11" t="s">
        <v>182</v>
      </c>
      <c r="D499" s="11" t="s">
        <v>269</v>
      </c>
      <c r="E499" s="11">
        <v>54</v>
      </c>
      <c r="F499" s="11" t="s">
        <v>289</v>
      </c>
      <c r="G499" s="11" t="s">
        <v>295</v>
      </c>
      <c r="H499" s="11" t="s">
        <v>374</v>
      </c>
      <c r="I499" s="11" t="s">
        <v>474</v>
      </c>
      <c r="J499" s="11" t="s">
        <v>959</v>
      </c>
      <c r="K499" s="12">
        <v>45381</v>
      </c>
      <c r="L499" s="11" t="s">
        <v>1458</v>
      </c>
      <c r="M499" s="11" t="s">
        <v>1511</v>
      </c>
      <c r="N499" s="11">
        <v>272.51</v>
      </c>
      <c r="O499" s="11">
        <v>5</v>
      </c>
      <c r="P499" s="11" t="s">
        <v>1547</v>
      </c>
      <c r="Q499" s="11" t="str">
        <f>_xlfn.IFS(Augmented_Data!$P499="FLAT8","8%",Augmented_Data!$P499="FLAT10","10%",Augmented_Data!$P499="FLAT15","15%",Augmented_Data!$P499="FLAT20","20%",Augmented_Data!$P499="DEL0","0 delivery charge")</f>
        <v>0 delivery charge</v>
      </c>
      <c r="R499" s="11">
        <v>3</v>
      </c>
      <c r="S499" s="11" t="str">
        <f>_xlfn.IFS(Augmented_Data!U499-Augmented_Data!K499=Augmented_Data!$R499,"Intime",Augmented_Data!U499-Augmented_Data!K499&lt;Augmented_Data!R499,"Before Time",Augmented_Data!U499-Augmented_Data!K499&gt;Augmented_Data!R499,"Late")</f>
        <v>Late</v>
      </c>
      <c r="T499" s="11">
        <v>66</v>
      </c>
      <c r="U499" s="12">
        <v>45388</v>
      </c>
      <c r="V499" s="11">
        <f>DATEDIF(Augmented_Data!$K499,Augmented_Data!$U499,"D")</f>
        <v>7</v>
      </c>
      <c r="W499" s="11" t="s">
        <v>2007</v>
      </c>
      <c r="X499" s="11">
        <f>Augmented_Data!$Z499-Augmented_Data!$AA499</f>
        <v>66</v>
      </c>
      <c r="Y499" s="11">
        <f>Augmented_Data!$N499*Augmented_Data!$O499</f>
        <v>1362.55</v>
      </c>
      <c r="Z499" s="11">
        <f>Augmented_Data!$Y499+Augmented_Data!$T499</f>
        <v>1428.55</v>
      </c>
      <c r="AA499" s="13">
        <f>IF(Augmented_Data!Q499="0 delivery charge",Augmented_Data!Z499-Augmented_Data!T499,Augmented_Data!Z499*(1-Augmented_Data!Q499))</f>
        <v>1362.55</v>
      </c>
    </row>
    <row r="500" spans="1:27" x14ac:dyDescent="0.3">
      <c r="A500" s="14" t="s">
        <v>60</v>
      </c>
      <c r="B500" s="14" t="str">
        <f>_xlfn.CONCAT(Augmented_Data!$C500," ",Augmented_Data!$D500)</f>
        <v>Amanda Howard</v>
      </c>
      <c r="C500" s="14" t="s">
        <v>157</v>
      </c>
      <c r="D500" s="14" t="s">
        <v>241</v>
      </c>
      <c r="E500" s="14">
        <v>52</v>
      </c>
      <c r="F500" s="14" t="s">
        <v>290</v>
      </c>
      <c r="G500" s="14" t="s">
        <v>298</v>
      </c>
      <c r="H500" s="14" t="s">
        <v>341</v>
      </c>
      <c r="I500" s="14" t="s">
        <v>441</v>
      </c>
      <c r="J500" s="14" t="s">
        <v>997</v>
      </c>
      <c r="K500" s="15">
        <v>45472</v>
      </c>
      <c r="L500" s="14" t="s">
        <v>1495</v>
      </c>
      <c r="M500" s="14" t="s">
        <v>1540</v>
      </c>
      <c r="N500" s="14">
        <v>424.82</v>
      </c>
      <c r="O500" s="14">
        <v>2</v>
      </c>
      <c r="P500" s="14" t="s">
        <v>1547</v>
      </c>
      <c r="Q500" s="14" t="str">
        <f>_xlfn.IFS(Augmented_Data!$P500="FLAT8","8%",Augmented_Data!$P500="FLAT10","10%",Augmented_Data!$P500="FLAT15","15%",Augmented_Data!$P500="FLAT20","20%",Augmented_Data!$P500="DEL0","0 delivery charge")</f>
        <v>0 delivery charge</v>
      </c>
      <c r="R500" s="14">
        <v>6</v>
      </c>
      <c r="S500" s="14" t="str">
        <f>_xlfn.IFS(Augmented_Data!U500-Augmented_Data!K500=Augmented_Data!$R500,"Intime",Augmented_Data!U500-Augmented_Data!K500&lt;Augmented_Data!R500,"Before Time",Augmented_Data!U500-Augmented_Data!K500&gt;Augmented_Data!R500,"Late")</f>
        <v>Before Time</v>
      </c>
      <c r="T500" s="14">
        <v>63</v>
      </c>
      <c r="U500" s="15">
        <v>45477</v>
      </c>
      <c r="V500" s="14">
        <f>DATEDIF(Augmented_Data!$K500,Augmented_Data!$U500,"D")</f>
        <v>5</v>
      </c>
      <c r="W500" s="14" t="s">
        <v>2045</v>
      </c>
      <c r="X500" s="14">
        <f>Augmented_Data!$Z500-Augmented_Data!$AA500</f>
        <v>63</v>
      </c>
      <c r="Y500" s="14">
        <f>Augmented_Data!$N500*Augmented_Data!$O500</f>
        <v>849.64</v>
      </c>
      <c r="Z500" s="14">
        <f>Augmented_Data!$Y500+Augmented_Data!$T500</f>
        <v>912.64</v>
      </c>
      <c r="AA500" s="16">
        <f>IF(Augmented_Data!Q500="0 delivery charge",Augmented_Data!Z500-Augmented_Data!T500,Augmented_Data!Z500*(1-Augmented_Data!Q500))</f>
        <v>849.64</v>
      </c>
    </row>
    <row r="501" spans="1:27" x14ac:dyDescent="0.3">
      <c r="A501" s="11" t="s">
        <v>41</v>
      </c>
      <c r="B501" s="11" t="str">
        <f>_xlfn.CONCAT(Augmented_Data!$C501," ",Augmented_Data!$D501)</f>
        <v>Angela Evans</v>
      </c>
      <c r="C501" s="11" t="s">
        <v>122</v>
      </c>
      <c r="D501" s="11" t="s">
        <v>222</v>
      </c>
      <c r="E501" s="11">
        <v>52</v>
      </c>
      <c r="F501" s="11" t="s">
        <v>290</v>
      </c>
      <c r="G501" s="11" t="s">
        <v>292</v>
      </c>
      <c r="H501" s="11" t="s">
        <v>322</v>
      </c>
      <c r="I501" s="11" t="s">
        <v>422</v>
      </c>
      <c r="J501" s="11" t="s">
        <v>998</v>
      </c>
      <c r="K501" s="12">
        <v>45501</v>
      </c>
      <c r="L501" s="11" t="s">
        <v>1496</v>
      </c>
      <c r="M501" s="11" t="s">
        <v>1500</v>
      </c>
      <c r="N501" s="11">
        <v>44.5</v>
      </c>
      <c r="O501" s="11">
        <v>4</v>
      </c>
      <c r="P501" s="11" t="s">
        <v>1547</v>
      </c>
      <c r="Q501" s="11" t="str">
        <f>_xlfn.IFS(Augmented_Data!$P501="FLAT8","8%",Augmented_Data!$P501="FLAT10","10%",Augmented_Data!$P501="FLAT15","15%",Augmented_Data!$P501="FLAT20","20%",Augmented_Data!$P501="DEL0","0 delivery charge")</f>
        <v>0 delivery charge</v>
      </c>
      <c r="R501" s="11">
        <v>3</v>
      </c>
      <c r="S501" s="11" t="str">
        <f>_xlfn.IFS(Augmented_Data!U501-Augmented_Data!K501=Augmented_Data!$R501,"Intime",Augmented_Data!U501-Augmented_Data!K501&lt;Augmented_Data!R501,"Before Time",Augmented_Data!U501-Augmented_Data!K501&gt;Augmented_Data!R501,"Late")</f>
        <v>Intime</v>
      </c>
      <c r="T501" s="11">
        <v>45</v>
      </c>
      <c r="U501" s="12">
        <v>45504</v>
      </c>
      <c r="V501" s="11">
        <f>DATEDIF(Augmented_Data!$K501,Augmented_Data!$U501,"D")</f>
        <v>3</v>
      </c>
      <c r="W501" s="11" t="s">
        <v>2046</v>
      </c>
      <c r="X501" s="11">
        <f>Augmented_Data!$Z501-Augmented_Data!$AA501</f>
        <v>45</v>
      </c>
      <c r="Y501" s="11">
        <f>Augmented_Data!$N501*Augmented_Data!$O501</f>
        <v>178</v>
      </c>
      <c r="Z501" s="11">
        <f>Augmented_Data!$Y501+Augmented_Data!$T501</f>
        <v>223</v>
      </c>
      <c r="AA501" s="13">
        <f>IF(Augmented_Data!Q501="0 delivery charge",Augmented_Data!Z501-Augmented_Data!T501,Augmented_Data!Z501*(1-Augmented_Data!Q501))</f>
        <v>178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2B0D2-E67A-40AE-8290-E4D36EB111B4}">
  <dimension ref="A1:J21"/>
  <sheetViews>
    <sheetView zoomScaleNormal="100" workbookViewId="0">
      <selection activeCell="B17" sqref="B17"/>
    </sheetView>
  </sheetViews>
  <sheetFormatPr defaultRowHeight="14.4" x14ac:dyDescent="0.3"/>
  <cols>
    <col min="6" max="6" width="11.77734375" customWidth="1"/>
    <col min="7" max="7" width="12.77734375" bestFit="1" customWidth="1"/>
    <col min="13" max="13" width="11" customWidth="1"/>
  </cols>
  <sheetData>
    <row r="1" spans="1:10" x14ac:dyDescent="0.3">
      <c r="A1" s="4" t="s">
        <v>2049</v>
      </c>
      <c r="B1" s="5"/>
      <c r="G1" s="6" t="s">
        <v>2051</v>
      </c>
    </row>
    <row r="2" spans="1:10" x14ac:dyDescent="0.3">
      <c r="A2" s="1" t="s">
        <v>2059</v>
      </c>
      <c r="B2" s="1"/>
      <c r="C2" s="1"/>
      <c r="G2" s="1" t="s">
        <v>2064</v>
      </c>
      <c r="J2" s="19"/>
    </row>
    <row r="3" spans="1:10" x14ac:dyDescent="0.3">
      <c r="A3">
        <f>COUNTA(Pivot_Table!A3:A102)</f>
        <v>100</v>
      </c>
      <c r="B3" t="str">
        <f ca="1">_xlfn.FORMULATEXT(A3)</f>
        <v>=COUNTA(Pivot_Table!A3:A102)</v>
      </c>
      <c r="E3" s="19"/>
      <c r="G3" s="21">
        <f>ROUND(SUM(Augmented_Data!$Y$2:$Y$501),0)</f>
        <v>364289</v>
      </c>
      <c r="H3" t="str">
        <f ca="1">_xlfn.FORMULATEXT(G3)</f>
        <v>=ROUND(SUM(Augmented_Data!$Y$2:$Y$501),0)</v>
      </c>
    </row>
    <row r="4" spans="1:10" x14ac:dyDescent="0.3">
      <c r="A4" s="1"/>
      <c r="D4" s="19"/>
      <c r="G4" s="1" t="s">
        <v>2071</v>
      </c>
      <c r="J4" s="19"/>
    </row>
    <row r="5" spans="1:10" x14ac:dyDescent="0.3">
      <c r="G5" s="22">
        <f>ROUND(SUM(Augmented_Data!$X$2:$X$501),0)</f>
        <v>45947</v>
      </c>
      <c r="H5" t="str">
        <f ca="1">_xlfn.FORMULATEXT(G5)</f>
        <v>=ROUND(SUM(Augmented_Data!$X$2:$X$501),0)</v>
      </c>
    </row>
    <row r="6" spans="1:10" x14ac:dyDescent="0.3">
      <c r="A6" s="23" t="s">
        <v>2052</v>
      </c>
      <c r="B6" s="23"/>
      <c r="C6" s="23"/>
      <c r="G6" s="1" t="s">
        <v>2095</v>
      </c>
      <c r="J6" s="19"/>
    </row>
    <row r="7" spans="1:10" x14ac:dyDescent="0.3">
      <c r="A7" s="1" t="s">
        <v>2096</v>
      </c>
      <c r="D7" s="19"/>
      <c r="G7">
        <f>ROUND(AVERAGE(Augmented_Data!$AA$2:$AA$501),0)</f>
        <v>689</v>
      </c>
      <c r="H7" t="str">
        <f ca="1">_xlfn.FORMULATEXT(G7)</f>
        <v>=ROUND(AVERAGE(Augmented_Data!$AA$2:$AA$501),0)</v>
      </c>
    </row>
    <row r="8" spans="1:10" x14ac:dyDescent="0.3">
      <c r="A8">
        <f>ROUND(AVERAGE(Augmented_Data!$V$2:$V$501),0)</f>
        <v>4</v>
      </c>
      <c r="B8" t="str">
        <f ca="1">_xlfn.FORMULATEXT(A8)</f>
        <v>=ROUND(AVERAGE(Augmented_Data!$V$2:$V$501),0)</v>
      </c>
      <c r="G8" s="1" t="s">
        <v>2072</v>
      </c>
      <c r="J8" s="19"/>
    </row>
    <row r="9" spans="1:10" x14ac:dyDescent="0.3">
      <c r="A9" s="1" t="s">
        <v>2097</v>
      </c>
      <c r="G9">
        <f>ROUND(AVERAGE(Augmented_Data!$Y$2:$Y$501),0)</f>
        <v>729</v>
      </c>
      <c r="H9" t="str">
        <f ca="1">_xlfn.FORMULATEXT(G9)</f>
        <v>=ROUND(AVERAGE(Augmented_Data!$Y$2:$Y$501),0)</v>
      </c>
    </row>
    <row r="10" spans="1:10" x14ac:dyDescent="0.3">
      <c r="A10">
        <f>COUNTA(Table1[Order_ID])</f>
        <v>500</v>
      </c>
      <c r="B10" t="str">
        <f ca="1">_xlfn.FORMULATEXT(A10)</f>
        <v>=COUNTA(Table1[Order_ID])</v>
      </c>
      <c r="G10" s="1" t="s">
        <v>2098</v>
      </c>
    </row>
    <row r="11" spans="1:10" x14ac:dyDescent="0.3">
      <c r="A11" s="6" t="s">
        <v>2050</v>
      </c>
      <c r="B11" s="5"/>
      <c r="G11">
        <f>ROUND(SUM(Augmented_Data!AA2:AA501)/SUM(Augmented_Data!Y2:Y501),3)*100</f>
        <v>94.6</v>
      </c>
      <c r="H11" t="str">
        <f ca="1">_xlfn.FORMULATEXT(G11)</f>
        <v>=ROUND(SUM(Augmented_Data!AA2:AA501)/SUM(Augmented_Data!Y2:Y501),3)*100</v>
      </c>
    </row>
    <row r="12" spans="1:10" x14ac:dyDescent="0.3">
      <c r="A12" s="1" t="s">
        <v>2061</v>
      </c>
      <c r="D12" s="19"/>
    </row>
    <row r="13" spans="1:10" x14ac:dyDescent="0.3">
      <c r="A13">
        <f>COUNTA(Pivot_Table!C10:C59)</f>
        <v>50</v>
      </c>
      <c r="B13" t="str">
        <f ca="1">_xlfn.FORMULATEXT(A13)</f>
        <v>=COUNTA(Pivot_Table!C10:C59)</v>
      </c>
    </row>
    <row r="14" spans="1:10" x14ac:dyDescent="0.3">
      <c r="A14" s="1" t="s">
        <v>2062</v>
      </c>
      <c r="D14" s="19"/>
    </row>
    <row r="15" spans="1:10" x14ac:dyDescent="0.3">
      <c r="A15" s="3" t="s">
        <v>1524</v>
      </c>
      <c r="B15">
        <v>17</v>
      </c>
      <c r="C15" t="s">
        <v>2074</v>
      </c>
    </row>
    <row r="16" spans="1:10" x14ac:dyDescent="0.3">
      <c r="A16" s="1" t="s">
        <v>2063</v>
      </c>
    </row>
    <row r="17" spans="1:6" x14ac:dyDescent="0.3">
      <c r="A17" s="3" t="s">
        <v>1525</v>
      </c>
      <c r="B17" s="22">
        <f>ROUND(18815.5372,0)</f>
        <v>18816</v>
      </c>
      <c r="C17" t="s">
        <v>2074</v>
      </c>
    </row>
    <row r="21" spans="1:6" x14ac:dyDescent="0.3">
      <c r="F21" s="19"/>
    </row>
  </sheetData>
  <mergeCells count="1">
    <mergeCell ref="A6:C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2DBE4-7934-4683-AC1D-099F1C3E3E72}">
  <dimension ref="A2:L103"/>
  <sheetViews>
    <sheetView workbookViewId="0">
      <selection activeCell="E34" sqref="E34"/>
    </sheetView>
  </sheetViews>
  <sheetFormatPr defaultRowHeight="14.4" x14ac:dyDescent="0.3"/>
  <cols>
    <col min="1" max="1" width="12.5546875" bestFit="1" customWidth="1"/>
    <col min="3" max="3" width="12.5546875" bestFit="1" customWidth="1"/>
    <col min="4" max="4" width="20.6640625" customWidth="1"/>
    <col min="6" max="6" width="12.5546875" bestFit="1" customWidth="1"/>
    <col min="7" max="7" width="19.88671875" bestFit="1" customWidth="1"/>
    <col min="10" max="10" width="10.6640625" customWidth="1"/>
    <col min="11" max="11" width="19.88671875" customWidth="1"/>
    <col min="12" max="12" width="22" customWidth="1"/>
  </cols>
  <sheetData>
    <row r="2" spans="1:12" x14ac:dyDescent="0.3">
      <c r="A2" s="2" t="s">
        <v>2053</v>
      </c>
      <c r="C2" s="2" t="s">
        <v>2053</v>
      </c>
      <c r="D2" t="s">
        <v>2070</v>
      </c>
      <c r="F2" s="2" t="s">
        <v>2053</v>
      </c>
      <c r="G2" t="s">
        <v>2055</v>
      </c>
    </row>
    <row r="3" spans="1:12" x14ac:dyDescent="0.3">
      <c r="A3" s="3" t="s">
        <v>69</v>
      </c>
      <c r="C3" s="3" t="s">
        <v>1525</v>
      </c>
      <c r="D3">
        <v>18815.537199999999</v>
      </c>
      <c r="F3" s="3" t="s">
        <v>1524</v>
      </c>
      <c r="G3">
        <v>17</v>
      </c>
      <c r="J3" s="2" t="s">
        <v>2053</v>
      </c>
      <c r="K3" t="s">
        <v>2093</v>
      </c>
    </row>
    <row r="4" spans="1:12" x14ac:dyDescent="0.3">
      <c r="A4" s="3" t="s">
        <v>28</v>
      </c>
      <c r="C4" s="3" t="s">
        <v>2054</v>
      </c>
      <c r="D4">
        <v>18815.537199999999</v>
      </c>
      <c r="F4" s="3" t="s">
        <v>2054</v>
      </c>
      <c r="G4">
        <v>17</v>
      </c>
      <c r="J4" s="3" t="s">
        <v>2090</v>
      </c>
      <c r="K4">
        <v>213</v>
      </c>
    </row>
    <row r="5" spans="1:12" x14ac:dyDescent="0.3">
      <c r="A5" s="3" t="s">
        <v>43</v>
      </c>
      <c r="J5" s="3" t="s">
        <v>2091</v>
      </c>
      <c r="K5">
        <v>77</v>
      </c>
    </row>
    <row r="6" spans="1:12" x14ac:dyDescent="0.3">
      <c r="A6" s="3" t="s">
        <v>42</v>
      </c>
      <c r="J6" s="3" t="s">
        <v>2092</v>
      </c>
      <c r="K6">
        <v>210</v>
      </c>
    </row>
    <row r="7" spans="1:12" x14ac:dyDescent="0.3">
      <c r="A7" s="3" t="s">
        <v>103</v>
      </c>
      <c r="J7" s="3" t="s">
        <v>2054</v>
      </c>
      <c r="K7">
        <v>500</v>
      </c>
    </row>
    <row r="8" spans="1:12" x14ac:dyDescent="0.3">
      <c r="A8" s="3" t="s">
        <v>29</v>
      </c>
      <c r="F8" s="2" t="s">
        <v>2053</v>
      </c>
      <c r="G8" t="s">
        <v>2070</v>
      </c>
    </row>
    <row r="9" spans="1:12" x14ac:dyDescent="0.3">
      <c r="A9" s="3" t="s">
        <v>115</v>
      </c>
      <c r="C9" s="2" t="s">
        <v>2053</v>
      </c>
      <c r="F9" s="3" t="s">
        <v>74</v>
      </c>
      <c r="G9">
        <v>13002.118899999999</v>
      </c>
    </row>
    <row r="10" spans="1:12" x14ac:dyDescent="0.3">
      <c r="A10" s="3" t="s">
        <v>88</v>
      </c>
      <c r="C10" s="3" t="s">
        <v>1530</v>
      </c>
      <c r="F10" s="3" t="s">
        <v>63</v>
      </c>
      <c r="G10">
        <v>8172.0982999999997</v>
      </c>
      <c r="J10" s="2" t="s">
        <v>2053</v>
      </c>
      <c r="K10" t="s">
        <v>2070</v>
      </c>
      <c r="L10" t="s">
        <v>2094</v>
      </c>
    </row>
    <row r="11" spans="1:12" x14ac:dyDescent="0.3">
      <c r="A11" s="3" t="s">
        <v>100</v>
      </c>
      <c r="C11" s="3" t="s">
        <v>1544</v>
      </c>
      <c r="F11" s="3" t="s">
        <v>90</v>
      </c>
      <c r="G11">
        <v>7832.8487000000005</v>
      </c>
      <c r="J11" s="3" t="s">
        <v>2075</v>
      </c>
    </row>
    <row r="12" spans="1:12" x14ac:dyDescent="0.3">
      <c r="A12" s="3" t="s">
        <v>47</v>
      </c>
      <c r="C12" s="3" t="s">
        <v>1513</v>
      </c>
      <c r="F12" s="3" t="s">
        <v>2054</v>
      </c>
      <c r="G12">
        <v>29007.065900000001</v>
      </c>
      <c r="J12" s="7" t="s">
        <v>2076</v>
      </c>
      <c r="K12">
        <v>8783.5454000000009</v>
      </c>
      <c r="L12">
        <v>1406.4845999999998</v>
      </c>
    </row>
    <row r="13" spans="1:12" x14ac:dyDescent="0.3">
      <c r="A13" s="3" t="s">
        <v>98</v>
      </c>
      <c r="C13" s="3" t="s">
        <v>1518</v>
      </c>
      <c r="J13" s="7" t="s">
        <v>2077</v>
      </c>
      <c r="K13">
        <v>11733.3536</v>
      </c>
      <c r="L13">
        <v>1560.8363999999997</v>
      </c>
    </row>
    <row r="14" spans="1:12" x14ac:dyDescent="0.3">
      <c r="A14" s="3" t="s">
        <v>85</v>
      </c>
      <c r="C14" s="3" t="s">
        <v>1537</v>
      </c>
      <c r="J14" s="7" t="s">
        <v>2078</v>
      </c>
      <c r="K14">
        <v>14770.2255</v>
      </c>
      <c r="L14">
        <v>2203.6244999999999</v>
      </c>
    </row>
    <row r="15" spans="1:12" x14ac:dyDescent="0.3">
      <c r="A15" s="3" t="s">
        <v>75</v>
      </c>
      <c r="C15" s="3" t="s">
        <v>1535</v>
      </c>
      <c r="J15" s="7" t="s">
        <v>2079</v>
      </c>
      <c r="K15">
        <v>9441.7083999999995</v>
      </c>
      <c r="L15">
        <v>1248.9615999999999</v>
      </c>
    </row>
    <row r="16" spans="1:12" x14ac:dyDescent="0.3">
      <c r="A16" s="3" t="s">
        <v>110</v>
      </c>
      <c r="C16" s="3" t="s">
        <v>1507</v>
      </c>
      <c r="J16" s="7" t="s">
        <v>2080</v>
      </c>
      <c r="K16">
        <v>14038.601199999999</v>
      </c>
      <c r="L16">
        <v>1805.1387999999999</v>
      </c>
    </row>
    <row r="17" spans="1:12" x14ac:dyDescent="0.3">
      <c r="A17" s="3" t="s">
        <v>63</v>
      </c>
      <c r="C17" s="3" t="s">
        <v>1514</v>
      </c>
      <c r="F17" s="2" t="s">
        <v>2053</v>
      </c>
      <c r="G17" t="s">
        <v>2056</v>
      </c>
      <c r="J17" s="7" t="s">
        <v>2081</v>
      </c>
      <c r="K17">
        <v>20648.915799999999</v>
      </c>
      <c r="L17">
        <v>2769.1741999999995</v>
      </c>
    </row>
    <row r="18" spans="1:12" x14ac:dyDescent="0.3">
      <c r="A18" s="3" t="s">
        <v>24</v>
      </c>
      <c r="C18" s="3" t="s">
        <v>1532</v>
      </c>
      <c r="F18" s="3" t="s">
        <v>1524</v>
      </c>
      <c r="G18">
        <v>17</v>
      </c>
      <c r="J18" s="7" t="s">
        <v>2082</v>
      </c>
      <c r="K18">
        <v>10110.4611</v>
      </c>
      <c r="L18">
        <v>1432.9688999999996</v>
      </c>
    </row>
    <row r="19" spans="1:12" x14ac:dyDescent="0.3">
      <c r="A19" s="3" t="s">
        <v>21</v>
      </c>
      <c r="C19" s="3" t="s">
        <v>1500</v>
      </c>
      <c r="F19" s="3" t="s">
        <v>1503</v>
      </c>
      <c r="G19">
        <v>16</v>
      </c>
      <c r="J19" s="7" t="s">
        <v>2083</v>
      </c>
      <c r="K19">
        <v>13512.489900000004</v>
      </c>
      <c r="L19">
        <v>1998.6800999999998</v>
      </c>
    </row>
    <row r="20" spans="1:12" x14ac:dyDescent="0.3">
      <c r="A20" s="3" t="s">
        <v>20</v>
      </c>
      <c r="C20" s="3" t="s">
        <v>1545</v>
      </c>
      <c r="F20" s="3" t="s">
        <v>1533</v>
      </c>
      <c r="G20">
        <v>15</v>
      </c>
      <c r="J20" s="7" t="s">
        <v>2084</v>
      </c>
      <c r="K20">
        <v>11388.179399999999</v>
      </c>
      <c r="L20">
        <v>1407.3606</v>
      </c>
    </row>
    <row r="21" spans="1:12" x14ac:dyDescent="0.3">
      <c r="A21" s="3" t="s">
        <v>80</v>
      </c>
      <c r="C21" s="3" t="s">
        <v>1515</v>
      </c>
      <c r="F21" s="3" t="s">
        <v>1525</v>
      </c>
      <c r="G21">
        <v>15</v>
      </c>
      <c r="J21" s="7" t="s">
        <v>2085</v>
      </c>
      <c r="K21">
        <v>13362.000399999999</v>
      </c>
      <c r="L21">
        <v>1488.2895999999996</v>
      </c>
    </row>
    <row r="22" spans="1:12" x14ac:dyDescent="0.3">
      <c r="A22" s="3" t="s">
        <v>99</v>
      </c>
      <c r="C22" s="3" t="s">
        <v>1539</v>
      </c>
      <c r="F22" s="3" t="s">
        <v>1520</v>
      </c>
      <c r="G22">
        <v>15</v>
      </c>
      <c r="J22" s="7" t="s">
        <v>2086</v>
      </c>
      <c r="K22">
        <v>11120.312600000001</v>
      </c>
      <c r="L22">
        <v>1677.9573999999998</v>
      </c>
    </row>
    <row r="23" spans="1:12" x14ac:dyDescent="0.3">
      <c r="A23" s="3" t="s">
        <v>50</v>
      </c>
      <c r="C23" s="3" t="s">
        <v>1511</v>
      </c>
      <c r="F23" s="3" t="s">
        <v>2054</v>
      </c>
      <c r="G23">
        <v>78</v>
      </c>
      <c r="J23" s="3" t="s">
        <v>2087</v>
      </c>
    </row>
    <row r="24" spans="1:12" x14ac:dyDescent="0.3">
      <c r="A24" s="3" t="s">
        <v>52</v>
      </c>
      <c r="C24" s="3" t="s">
        <v>1498</v>
      </c>
      <c r="J24" s="7" t="s">
        <v>2088</v>
      </c>
      <c r="K24">
        <v>11596.541099999999</v>
      </c>
      <c r="L24">
        <v>1630.0389000000002</v>
      </c>
    </row>
    <row r="25" spans="1:12" x14ac:dyDescent="0.3">
      <c r="A25" s="3" t="s">
        <v>109</v>
      </c>
      <c r="C25" s="3" t="s">
        <v>1541</v>
      </c>
      <c r="J25" s="7" t="s">
        <v>2076</v>
      </c>
      <c r="K25">
        <v>14705.427000000001</v>
      </c>
      <c r="L25">
        <v>1607.0329999999999</v>
      </c>
    </row>
    <row r="26" spans="1:12" x14ac:dyDescent="0.3">
      <c r="A26" s="3" t="s">
        <v>82</v>
      </c>
      <c r="C26" s="3" t="s">
        <v>1534</v>
      </c>
      <c r="J26" s="7" t="s">
        <v>2077</v>
      </c>
      <c r="K26">
        <v>15046.517899999999</v>
      </c>
      <c r="L26">
        <v>1776.3620999999998</v>
      </c>
    </row>
    <row r="27" spans="1:12" x14ac:dyDescent="0.3">
      <c r="A27" s="3" t="s">
        <v>94</v>
      </c>
      <c r="C27" s="3" t="s">
        <v>1520</v>
      </c>
      <c r="J27" s="7" t="s">
        <v>2078</v>
      </c>
      <c r="K27">
        <v>23529.980899999999</v>
      </c>
      <c r="L27">
        <v>2842.1090999999992</v>
      </c>
    </row>
    <row r="28" spans="1:12" x14ac:dyDescent="0.3">
      <c r="A28" s="3" t="s">
        <v>78</v>
      </c>
      <c r="C28" s="3" t="s">
        <v>1531</v>
      </c>
      <c r="F28" s="2" t="s">
        <v>2053</v>
      </c>
      <c r="G28" t="s">
        <v>2070</v>
      </c>
      <c r="J28" s="7" t="s">
        <v>2079</v>
      </c>
      <c r="K28">
        <v>13201.906399999998</v>
      </c>
      <c r="L28">
        <v>1374.3235999999997</v>
      </c>
    </row>
    <row r="29" spans="1:12" x14ac:dyDescent="0.3">
      <c r="A29" s="3" t="s">
        <v>62</v>
      </c>
      <c r="C29" s="3" t="s">
        <v>1528</v>
      </c>
      <c r="F29" s="3" t="s">
        <v>292</v>
      </c>
      <c r="G29">
        <v>59687.070399999982</v>
      </c>
      <c r="J29" s="7" t="s">
        <v>2080</v>
      </c>
      <c r="K29">
        <v>17097.457699999999</v>
      </c>
      <c r="L29">
        <v>2194.8422999999993</v>
      </c>
    </row>
    <row r="30" spans="1:12" x14ac:dyDescent="0.3">
      <c r="A30" s="3" t="s">
        <v>102</v>
      </c>
      <c r="C30" s="3" t="s">
        <v>1523</v>
      </c>
      <c r="F30" s="3" t="s">
        <v>297</v>
      </c>
      <c r="G30">
        <v>49632.830799999989</v>
      </c>
      <c r="J30" s="7" t="s">
        <v>2081</v>
      </c>
      <c r="K30">
        <v>17679.620400000003</v>
      </c>
      <c r="L30">
        <v>1771.5395999999996</v>
      </c>
    </row>
    <row r="31" spans="1:12" x14ac:dyDescent="0.3">
      <c r="A31" s="3" t="s">
        <v>36</v>
      </c>
      <c r="C31" s="3" t="s">
        <v>1497</v>
      </c>
      <c r="F31" s="3" t="s">
        <v>296</v>
      </c>
      <c r="G31">
        <v>47151.855899999995</v>
      </c>
      <c r="J31" s="7" t="s">
        <v>2082</v>
      </c>
      <c r="K31">
        <v>17493.804900000003</v>
      </c>
      <c r="L31">
        <v>2461.5050999999999</v>
      </c>
    </row>
    <row r="32" spans="1:12" x14ac:dyDescent="0.3">
      <c r="A32" s="3" t="s">
        <v>64</v>
      </c>
      <c r="C32" s="3" t="s">
        <v>1502</v>
      </c>
      <c r="F32" s="3" t="s">
        <v>298</v>
      </c>
      <c r="G32">
        <v>45720.286999999989</v>
      </c>
      <c r="J32" s="7" t="s">
        <v>2083</v>
      </c>
      <c r="K32">
        <v>12338.596700000002</v>
      </c>
      <c r="L32">
        <v>2285.4632999999999</v>
      </c>
    </row>
    <row r="33" spans="1:12" x14ac:dyDescent="0.3">
      <c r="A33" s="3" t="s">
        <v>27</v>
      </c>
      <c r="C33" s="3" t="s">
        <v>1512</v>
      </c>
      <c r="F33" s="3" t="s">
        <v>291</v>
      </c>
      <c r="G33">
        <v>45248.245800000004</v>
      </c>
      <c r="J33" s="7" t="s">
        <v>2084</v>
      </c>
      <c r="K33">
        <v>14489.9252</v>
      </c>
      <c r="L33">
        <v>2106.4347999999995</v>
      </c>
    </row>
    <row r="34" spans="1:12" x14ac:dyDescent="0.3">
      <c r="A34" s="3" t="s">
        <v>111</v>
      </c>
      <c r="C34" s="3" t="s">
        <v>1536</v>
      </c>
      <c r="F34" s="3" t="s">
        <v>295</v>
      </c>
      <c r="G34">
        <v>39521.267499999994</v>
      </c>
      <c r="J34" s="7" t="s">
        <v>2085</v>
      </c>
      <c r="K34">
        <v>12959.908800000003</v>
      </c>
      <c r="L34">
        <v>1480.2711999999997</v>
      </c>
    </row>
    <row r="35" spans="1:12" x14ac:dyDescent="0.3">
      <c r="A35" s="3" t="s">
        <v>55</v>
      </c>
      <c r="C35" s="3" t="s">
        <v>1529</v>
      </c>
      <c r="F35" s="3" t="s">
        <v>293</v>
      </c>
      <c r="G35">
        <v>32981.927000000003</v>
      </c>
      <c r="J35" s="7" t="s">
        <v>2086</v>
      </c>
      <c r="K35">
        <v>14392.4344</v>
      </c>
      <c r="L35">
        <v>1894.6556</v>
      </c>
    </row>
    <row r="36" spans="1:12" x14ac:dyDescent="0.3">
      <c r="A36" s="3" t="s">
        <v>53</v>
      </c>
      <c r="C36" s="3" t="s">
        <v>1525</v>
      </c>
      <c r="F36" s="3" t="s">
        <v>294</v>
      </c>
      <c r="G36">
        <v>24522.095300000001</v>
      </c>
      <c r="J36" s="3" t="s">
        <v>2089</v>
      </c>
    </row>
    <row r="37" spans="1:12" x14ac:dyDescent="0.3">
      <c r="A37" s="3" t="s">
        <v>66</v>
      </c>
      <c r="C37" s="3" t="s">
        <v>1516</v>
      </c>
      <c r="F37" s="3" t="s">
        <v>2054</v>
      </c>
      <c r="G37">
        <v>344465.57969999994</v>
      </c>
      <c r="J37" s="7" t="s">
        <v>2088</v>
      </c>
      <c r="K37">
        <v>19508.373</v>
      </c>
      <c r="L37">
        <v>3200.107</v>
      </c>
    </row>
    <row r="38" spans="1:12" x14ac:dyDescent="0.3">
      <c r="A38" s="3" t="s">
        <v>60</v>
      </c>
      <c r="C38" s="3" t="s">
        <v>1543</v>
      </c>
      <c r="J38" s="7" t="s">
        <v>2076</v>
      </c>
      <c r="K38">
        <v>1515.2920000000001</v>
      </c>
      <c r="L38">
        <v>322.74799999999993</v>
      </c>
    </row>
    <row r="39" spans="1:12" x14ac:dyDescent="0.3">
      <c r="A39" s="3" t="s">
        <v>67</v>
      </c>
      <c r="C39" s="3" t="s">
        <v>1517</v>
      </c>
      <c r="J39" s="3" t="s">
        <v>2054</v>
      </c>
      <c r="K39">
        <v>344465.57970000006</v>
      </c>
      <c r="L39">
        <v>45946.910299999981</v>
      </c>
    </row>
    <row r="40" spans="1:12" x14ac:dyDescent="0.3">
      <c r="A40" s="3" t="s">
        <v>34</v>
      </c>
      <c r="C40" s="3" t="s">
        <v>1526</v>
      </c>
    </row>
    <row r="41" spans="1:12" x14ac:dyDescent="0.3">
      <c r="A41" s="3" t="s">
        <v>105</v>
      </c>
      <c r="C41" s="3" t="s">
        <v>1540</v>
      </c>
    </row>
    <row r="42" spans="1:12" x14ac:dyDescent="0.3">
      <c r="A42" s="3" t="s">
        <v>79</v>
      </c>
      <c r="C42" s="3" t="s">
        <v>1505</v>
      </c>
    </row>
    <row r="43" spans="1:12" x14ac:dyDescent="0.3">
      <c r="A43" s="3" t="s">
        <v>81</v>
      </c>
      <c r="C43" s="3" t="s">
        <v>1504</v>
      </c>
    </row>
    <row r="44" spans="1:12" x14ac:dyDescent="0.3">
      <c r="A44" s="3" t="s">
        <v>108</v>
      </c>
      <c r="C44" s="3" t="s">
        <v>1538</v>
      </c>
    </row>
    <row r="45" spans="1:12" x14ac:dyDescent="0.3">
      <c r="A45" s="3" t="s">
        <v>106</v>
      </c>
      <c r="C45" s="3" t="s">
        <v>1524</v>
      </c>
    </row>
    <row r="46" spans="1:12" x14ac:dyDescent="0.3">
      <c r="A46" s="3" t="s">
        <v>84</v>
      </c>
      <c r="C46" s="3" t="s">
        <v>1527</v>
      </c>
    </row>
    <row r="47" spans="1:12" x14ac:dyDescent="0.3">
      <c r="A47" s="3" t="s">
        <v>77</v>
      </c>
      <c r="C47" s="3" t="s">
        <v>1519</v>
      </c>
    </row>
    <row r="48" spans="1:12" x14ac:dyDescent="0.3">
      <c r="A48" s="3" t="s">
        <v>76</v>
      </c>
      <c r="C48" s="3" t="s">
        <v>1510</v>
      </c>
    </row>
    <row r="49" spans="1:3" x14ac:dyDescent="0.3">
      <c r="A49" s="3" t="s">
        <v>117</v>
      </c>
      <c r="C49" s="3" t="s">
        <v>1521</v>
      </c>
    </row>
    <row r="50" spans="1:3" x14ac:dyDescent="0.3">
      <c r="A50" s="3" t="s">
        <v>35</v>
      </c>
      <c r="C50" s="3" t="s">
        <v>1506</v>
      </c>
    </row>
    <row r="51" spans="1:3" x14ac:dyDescent="0.3">
      <c r="A51" s="3" t="s">
        <v>33</v>
      </c>
      <c r="C51" s="3" t="s">
        <v>1508</v>
      </c>
    </row>
    <row r="52" spans="1:3" x14ac:dyDescent="0.3">
      <c r="A52" s="3" t="s">
        <v>22</v>
      </c>
      <c r="C52" s="3" t="s">
        <v>1501</v>
      </c>
    </row>
    <row r="53" spans="1:3" x14ac:dyDescent="0.3">
      <c r="A53" s="3" t="s">
        <v>19</v>
      </c>
      <c r="C53" s="3" t="s">
        <v>1542</v>
      </c>
    </row>
    <row r="54" spans="1:3" x14ac:dyDescent="0.3">
      <c r="A54" s="3" t="s">
        <v>113</v>
      </c>
      <c r="C54" s="3" t="s">
        <v>1546</v>
      </c>
    </row>
    <row r="55" spans="1:3" x14ac:dyDescent="0.3">
      <c r="A55" s="3" t="s">
        <v>26</v>
      </c>
      <c r="C55" s="3" t="s">
        <v>1503</v>
      </c>
    </row>
    <row r="56" spans="1:3" x14ac:dyDescent="0.3">
      <c r="A56" s="3" t="s">
        <v>68</v>
      </c>
      <c r="C56" s="3" t="s">
        <v>1509</v>
      </c>
    </row>
    <row r="57" spans="1:3" x14ac:dyDescent="0.3">
      <c r="A57" s="3" t="s">
        <v>107</v>
      </c>
      <c r="C57" s="3" t="s">
        <v>1533</v>
      </c>
    </row>
    <row r="58" spans="1:3" x14ac:dyDescent="0.3">
      <c r="A58" s="3" t="s">
        <v>51</v>
      </c>
      <c r="C58" s="3" t="s">
        <v>1499</v>
      </c>
    </row>
    <row r="59" spans="1:3" x14ac:dyDescent="0.3">
      <c r="A59" s="3" t="s">
        <v>86</v>
      </c>
      <c r="C59" s="3" t="s">
        <v>1522</v>
      </c>
    </row>
    <row r="60" spans="1:3" x14ac:dyDescent="0.3">
      <c r="A60" s="3" t="s">
        <v>112</v>
      </c>
    </row>
    <row r="61" spans="1:3" x14ac:dyDescent="0.3">
      <c r="A61" s="3" t="s">
        <v>41</v>
      </c>
    </row>
    <row r="62" spans="1:3" x14ac:dyDescent="0.3">
      <c r="A62" s="3" t="s">
        <v>23</v>
      </c>
    </row>
    <row r="63" spans="1:3" x14ac:dyDescent="0.3">
      <c r="A63" s="3" t="s">
        <v>95</v>
      </c>
    </row>
    <row r="64" spans="1:3" x14ac:dyDescent="0.3">
      <c r="A64" s="3" t="s">
        <v>48</v>
      </c>
    </row>
    <row r="65" spans="1:1" x14ac:dyDescent="0.3">
      <c r="A65" s="3" t="s">
        <v>90</v>
      </c>
    </row>
    <row r="66" spans="1:1" x14ac:dyDescent="0.3">
      <c r="A66" s="3" t="s">
        <v>39</v>
      </c>
    </row>
    <row r="67" spans="1:1" x14ac:dyDescent="0.3">
      <c r="A67" s="3" t="s">
        <v>72</v>
      </c>
    </row>
    <row r="68" spans="1:1" x14ac:dyDescent="0.3">
      <c r="A68" s="3" t="s">
        <v>61</v>
      </c>
    </row>
    <row r="69" spans="1:1" x14ac:dyDescent="0.3">
      <c r="A69" s="3" t="s">
        <v>45</v>
      </c>
    </row>
    <row r="70" spans="1:1" x14ac:dyDescent="0.3">
      <c r="A70" s="3" t="s">
        <v>93</v>
      </c>
    </row>
    <row r="71" spans="1:1" x14ac:dyDescent="0.3">
      <c r="A71" s="3" t="s">
        <v>37</v>
      </c>
    </row>
    <row r="72" spans="1:1" x14ac:dyDescent="0.3">
      <c r="A72" s="3" t="s">
        <v>54</v>
      </c>
    </row>
    <row r="73" spans="1:1" x14ac:dyDescent="0.3">
      <c r="A73" s="3" t="s">
        <v>87</v>
      </c>
    </row>
    <row r="74" spans="1:1" x14ac:dyDescent="0.3">
      <c r="A74" s="3" t="s">
        <v>96</v>
      </c>
    </row>
    <row r="75" spans="1:1" x14ac:dyDescent="0.3">
      <c r="A75" s="3" t="s">
        <v>30</v>
      </c>
    </row>
    <row r="76" spans="1:1" x14ac:dyDescent="0.3">
      <c r="A76" s="3" t="s">
        <v>97</v>
      </c>
    </row>
    <row r="77" spans="1:1" x14ac:dyDescent="0.3">
      <c r="A77" s="3" t="s">
        <v>74</v>
      </c>
    </row>
    <row r="78" spans="1:1" x14ac:dyDescent="0.3">
      <c r="A78" s="3" t="s">
        <v>71</v>
      </c>
    </row>
    <row r="79" spans="1:1" x14ac:dyDescent="0.3">
      <c r="A79" s="3" t="s">
        <v>32</v>
      </c>
    </row>
    <row r="80" spans="1:1" x14ac:dyDescent="0.3">
      <c r="A80" s="3" t="s">
        <v>114</v>
      </c>
    </row>
    <row r="81" spans="1:1" x14ac:dyDescent="0.3">
      <c r="A81" s="3" t="s">
        <v>31</v>
      </c>
    </row>
    <row r="82" spans="1:1" x14ac:dyDescent="0.3">
      <c r="A82" s="3" t="s">
        <v>38</v>
      </c>
    </row>
    <row r="83" spans="1:1" x14ac:dyDescent="0.3">
      <c r="A83" s="3" t="s">
        <v>56</v>
      </c>
    </row>
    <row r="84" spans="1:1" x14ac:dyDescent="0.3">
      <c r="A84" s="3" t="s">
        <v>59</v>
      </c>
    </row>
    <row r="85" spans="1:1" x14ac:dyDescent="0.3">
      <c r="A85" s="3" t="s">
        <v>40</v>
      </c>
    </row>
    <row r="86" spans="1:1" x14ac:dyDescent="0.3">
      <c r="A86" s="3" t="s">
        <v>83</v>
      </c>
    </row>
    <row r="87" spans="1:1" x14ac:dyDescent="0.3">
      <c r="A87" s="3" t="s">
        <v>57</v>
      </c>
    </row>
    <row r="88" spans="1:1" x14ac:dyDescent="0.3">
      <c r="A88" s="3" t="s">
        <v>89</v>
      </c>
    </row>
    <row r="89" spans="1:1" x14ac:dyDescent="0.3">
      <c r="A89" s="3" t="s">
        <v>18</v>
      </c>
    </row>
    <row r="90" spans="1:1" x14ac:dyDescent="0.3">
      <c r="A90" s="3" t="s">
        <v>58</v>
      </c>
    </row>
    <row r="91" spans="1:1" x14ac:dyDescent="0.3">
      <c r="A91" s="3" t="s">
        <v>92</v>
      </c>
    </row>
    <row r="92" spans="1:1" x14ac:dyDescent="0.3">
      <c r="A92" s="3" t="s">
        <v>104</v>
      </c>
    </row>
    <row r="93" spans="1:1" x14ac:dyDescent="0.3">
      <c r="A93" s="3" t="s">
        <v>49</v>
      </c>
    </row>
    <row r="94" spans="1:1" x14ac:dyDescent="0.3">
      <c r="A94" s="3" t="s">
        <v>46</v>
      </c>
    </row>
    <row r="95" spans="1:1" x14ac:dyDescent="0.3">
      <c r="A95" s="3" t="s">
        <v>73</v>
      </c>
    </row>
    <row r="96" spans="1:1" x14ac:dyDescent="0.3">
      <c r="A96" s="3" t="s">
        <v>44</v>
      </c>
    </row>
    <row r="97" spans="1:1" x14ac:dyDescent="0.3">
      <c r="A97" s="3" t="s">
        <v>91</v>
      </c>
    </row>
    <row r="98" spans="1:1" x14ac:dyDescent="0.3">
      <c r="A98" s="3" t="s">
        <v>70</v>
      </c>
    </row>
    <row r="99" spans="1:1" x14ac:dyDescent="0.3">
      <c r="A99" s="3" t="s">
        <v>101</v>
      </c>
    </row>
    <row r="100" spans="1:1" x14ac:dyDescent="0.3">
      <c r="A100" s="3" t="s">
        <v>116</v>
      </c>
    </row>
    <row r="101" spans="1:1" x14ac:dyDescent="0.3">
      <c r="A101" s="3" t="s">
        <v>25</v>
      </c>
    </row>
    <row r="102" spans="1:1" x14ac:dyDescent="0.3">
      <c r="A102" s="3" t="s">
        <v>65</v>
      </c>
    </row>
    <row r="103" spans="1:1" x14ac:dyDescent="0.3">
      <c r="A103" s="3" t="s">
        <v>2060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1913D-9186-49FB-ABC2-6CB388BA74DD}">
  <dimension ref="A1"/>
  <sheetViews>
    <sheetView showGridLines="0" tabSelected="1" workbookViewId="0">
      <selection activeCell="Q39" sqref="Q39"/>
    </sheetView>
  </sheetViews>
  <sheetFormatPr defaultRowHeight="14.4" x14ac:dyDescent="0.3"/>
  <cols>
    <col min="1" max="16384" width="8.88671875" style="2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Augmented_Data</vt:lpstr>
      <vt:lpstr>KPI Calculation</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shivani singh</dc:creator>
  <cp:lastModifiedBy>shivani singh</cp:lastModifiedBy>
  <dcterms:created xsi:type="dcterms:W3CDTF">2025-02-08T05:14:48Z</dcterms:created>
  <dcterms:modified xsi:type="dcterms:W3CDTF">2026-04-05T16:46:36Z</dcterms:modified>
</cp:coreProperties>
</file>